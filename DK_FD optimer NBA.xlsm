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ca\Documents\"/>
    </mc:Choice>
  </mc:AlternateContent>
  <xr:revisionPtr revIDLastSave="0" documentId="8_{E3825023-640C-4229-A652-24A45CAD42AF}" xr6:coauthVersionLast="47" xr6:coauthVersionMax="47" xr10:uidLastSave="{00000000-0000-0000-0000-000000000000}"/>
  <bookViews>
    <workbookView xWindow="-108" yWindow="-108" windowWidth="23256" windowHeight="12576" xr2:uid="{CF9A182E-3AB9-4572-A2C9-1CF2D0B89C9D}"/>
  </bookViews>
  <sheets>
    <sheet name="Table 0" sheetId="2" r:id="rId1"/>
    <sheet name="Table 0 (2)" sheetId="3" r:id="rId2"/>
    <sheet name="Table 0 (3)" sheetId="4" r:id="rId3"/>
    <sheet name="Table 0 (4)" sheetId="5" r:id="rId4"/>
    <sheet name="Sheet1" sheetId="1" r:id="rId5"/>
  </sheets>
  <definedNames>
    <definedName name="ExternalData_1" localSheetId="0" hidden="1">'Table 0'!$A$1:$V$198</definedName>
    <definedName name="ExternalData_1" localSheetId="1" hidden="1">'Table 0 (2)'!$A$1:$G$354</definedName>
    <definedName name="ExternalData_1" localSheetId="2" hidden="1">'Table 0 (3)'!$A$1:$H$218</definedName>
    <definedName name="ExternalData_1" localSheetId="3" hidden="1">'Table 0 (4)'!$A$1:$R$247</definedName>
    <definedName name="solver_adj" localSheetId="0" hidden="1">'Table 0'!$W$2:$W$198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'Table 0'!$W$2:$W$198</definedName>
    <definedName name="solver_lhs10" localSheetId="0" hidden="1">'Table 0'!$AH$4</definedName>
    <definedName name="solver_lhs11" localSheetId="0" hidden="1">'Table 0'!$AH$12</definedName>
    <definedName name="solver_lhs12" localSheetId="0" hidden="1">'Table 0'!$AG$8</definedName>
    <definedName name="solver_lhs13" localSheetId="0" hidden="1">'Table 0'!$AG$6</definedName>
    <definedName name="solver_lhs14" localSheetId="0" hidden="1">'Table 0'!$AG$9</definedName>
    <definedName name="solver_lhs2" localSheetId="0" hidden="1">'Table 0'!$AH$10</definedName>
    <definedName name="solver_lhs3" localSheetId="0" hidden="1">'Table 0'!$AG$10</definedName>
    <definedName name="solver_lhs4" localSheetId="0" hidden="1">'Table 0'!$AI$7</definedName>
    <definedName name="solver_lhs5" localSheetId="0" hidden="1">'Table 0'!$AH$7</definedName>
    <definedName name="solver_lhs6" localSheetId="0" hidden="1">'Table 0'!$AH$4</definedName>
    <definedName name="solver_lhs7" localSheetId="0" hidden="1">'Table 0'!$AH$8</definedName>
    <definedName name="solver_lhs8" localSheetId="0" hidden="1">'Table 0'!$AH$6</definedName>
    <definedName name="solver_lhs9" localSheetId="0" hidden="1">'Table 0'!$AH$3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14</definedName>
    <definedName name="solver_nwt" localSheetId="0" hidden="1">1</definedName>
    <definedName name="solver_opt" localSheetId="0" hidden="1">'Table 0'!$AH$2</definedName>
    <definedName name="solver_pre" localSheetId="0" hidden="1">0.000001</definedName>
    <definedName name="solver_rbv" localSheetId="0" hidden="1">2</definedName>
    <definedName name="solver_rel1" localSheetId="0" hidden="1">5</definedName>
    <definedName name="solver_rel10" localSheetId="0" hidden="1">1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el5" localSheetId="0" hidden="1">3</definedName>
    <definedName name="solver_rel6" localSheetId="0" hidden="1">2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"binary"</definedName>
    <definedName name="solver_rhs10" localSheetId="0" hidden="1">'Table 0'!$AG$4</definedName>
    <definedName name="solver_rhs11" localSheetId="0" hidden="1">'Table 0'!$AI$12</definedName>
    <definedName name="solver_rhs12" localSheetId="0" hidden="1">'Table 0'!$AH$8</definedName>
    <definedName name="solver_rhs13" localSheetId="0" hidden="1">'Table 0'!$AH$6</definedName>
    <definedName name="solver_rhs14" localSheetId="0" hidden="1">'Table 0'!$AH$9</definedName>
    <definedName name="solver_rhs2" localSheetId="0" hidden="1">'Table 0'!$AI$10</definedName>
    <definedName name="solver_rhs3" localSheetId="0" hidden="1">'Table 0'!$AH$10</definedName>
    <definedName name="solver_rhs4" localSheetId="0" hidden="1">'Table 0'!$AH$7</definedName>
    <definedName name="solver_rhs5" localSheetId="0" hidden="1">'Table 0'!$AG$7</definedName>
    <definedName name="solver_rhs6" localSheetId="0" hidden="1">'Table 0'!$AG$4</definedName>
    <definedName name="solver_rhs7" localSheetId="0" hidden="1">'Table 0'!$AI$8</definedName>
    <definedName name="solver_rhs8" localSheetId="0" hidden="1">'Table 0'!$AI$6</definedName>
    <definedName name="solver_rhs9" localSheetId="0" hidden="1">'Table 0'!$AG$3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3" i="2" l="1"/>
  <c r="AL4" i="2"/>
  <c r="AL5" i="2"/>
  <c r="AL6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L190" i="2"/>
  <c r="AL191" i="2"/>
  <c r="AL192" i="2"/>
  <c r="AL193" i="2"/>
  <c r="AL194" i="2"/>
  <c r="AL195" i="2"/>
  <c r="AL196" i="2"/>
  <c r="AL197" i="2"/>
  <c r="AL198" i="2"/>
  <c r="AL199" i="2"/>
  <c r="AL200" i="2"/>
  <c r="AL201" i="2"/>
  <c r="AL202" i="2"/>
  <c r="AL203" i="2"/>
  <c r="AL204" i="2"/>
  <c r="AL205" i="2"/>
  <c r="AL206" i="2"/>
  <c r="AL207" i="2"/>
  <c r="AL208" i="2"/>
  <c r="AL209" i="2"/>
  <c r="AL210" i="2"/>
  <c r="AL211" i="2"/>
  <c r="AL212" i="2"/>
  <c r="AL213" i="2"/>
  <c r="AL214" i="2"/>
  <c r="AL215" i="2"/>
  <c r="AL216" i="2"/>
  <c r="AL217" i="2"/>
  <c r="AL218" i="2"/>
  <c r="AL219" i="2"/>
  <c r="AL220" i="2"/>
  <c r="AL221" i="2"/>
  <c r="AL222" i="2"/>
  <c r="AL223" i="2"/>
  <c r="AL224" i="2"/>
  <c r="AL225" i="2"/>
  <c r="AL226" i="2"/>
  <c r="AL227" i="2"/>
  <c r="AL228" i="2"/>
  <c r="AL229" i="2"/>
  <c r="AL230" i="2"/>
  <c r="AL231" i="2"/>
  <c r="AL232" i="2"/>
  <c r="AL233" i="2"/>
  <c r="AL234" i="2"/>
  <c r="AL235" i="2"/>
  <c r="AL236" i="2"/>
  <c r="AL237" i="2"/>
  <c r="AL238" i="2"/>
  <c r="AL239" i="2"/>
  <c r="AL240" i="2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L299" i="2"/>
  <c r="AL300" i="2"/>
  <c r="AL301" i="2"/>
  <c r="AL302" i="2"/>
  <c r="AH2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Z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AA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H12" i="2"/>
  <c r="AL2" i="2"/>
  <c r="AN2" i="2"/>
  <c r="AH3" i="2"/>
  <c r="AH4" i="2"/>
  <c r="AS45" i="2"/>
  <c r="AH10" i="2" l="1"/>
  <c r="AH6" i="2"/>
  <c r="AH9" i="2"/>
  <c r="AH8" i="2"/>
  <c r="AH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6CEFBB-6E60-43D4-99AA-DDF3F29F828E}" keepAlive="1" name="Query - Table 0" description="Connection to the 'Table 0' query in the workbook." type="5" refreshedVersion="7" background="1" saveData="1">
    <dbPr connection="Provider=Microsoft.Mashup.OleDb.1;Data Source=$Workbook$;Location=&quot;Table 0&quot;;Extended Properties=&quot;&quot;" command="SELECT * FROM [Table 0]"/>
  </connection>
  <connection id="2" xr16:uid="{DCAA5979-BBF4-44E2-A5F8-F8538E92EEE1}" keepAlive="1" name="Query - Table 0 (2)" description="Connection to the 'Table 0 (2)' query in the workbook." type="5" refreshedVersion="7" background="1" saveData="1">
    <dbPr connection="Provider=Microsoft.Mashup.OleDb.1;Data Source=$Workbook$;Location=&quot;Table 0 (2)&quot;;Extended Properties=&quot;&quot;" command="SELECT * FROM [Table 0 (2)]"/>
  </connection>
  <connection id="3" xr16:uid="{4135E7FF-23F6-45F4-A103-753949171F95}" keepAlive="1" name="Query - Table 0 (3)" description="Connection to the 'Table 0 (3)' query in the workbook." type="5" refreshedVersion="7" background="1" saveData="1">
    <dbPr connection="Provider=Microsoft.Mashup.OleDb.1;Data Source=$Workbook$;Location=&quot;Table 0 (3)&quot;;Extended Properties=&quot;&quot;" command="SELECT * FROM [Table 0 (3)]"/>
  </connection>
  <connection id="4" xr16:uid="{1C73AD97-2053-4018-9849-EE22117C112A}" keepAlive="1" name="Query - Table 0 (4)" description="Connection to the 'Table 0 (4)' query in the workbook." type="5" refreshedVersion="7" background="1" saveData="1">
    <dbPr connection="Provider=Microsoft.Mashup.OleDb.1;Data Source=$Workbook$;Location=&quot;Table 0 (4)&quot;;Extended Properties=&quot;&quot;" command="SELECT * FROM [Table 0 (4)]"/>
  </connection>
</connections>
</file>

<file path=xl/sharedStrings.xml><?xml version="1.0" encoding="utf-8"?>
<sst xmlns="http://schemas.openxmlformats.org/spreadsheetml/2006/main" count="6160" uniqueCount="1637">
  <si>
    <t>Player</t>
  </si>
  <si>
    <t>Team</t>
  </si>
  <si>
    <t>Position.1</t>
  </si>
  <si>
    <t>Position.2</t>
  </si>
  <si>
    <t>Projected Mins</t>
  </si>
  <si>
    <t>Last Season</t>
  </si>
  <si>
    <t>Last 15 Games</t>
  </si>
  <si>
    <t>Last 3 Games</t>
  </si>
  <si>
    <t>FPPM</t>
  </si>
  <si>
    <t>Minutes</t>
  </si>
  <si>
    <t>Salary</t>
  </si>
  <si>
    <t>Proj
          Projection</t>
  </si>
  <si>
    <t>Cafe Value</t>
  </si>
  <si>
    <t>SG</t>
  </si>
  <si>
    <t>SF</t>
  </si>
  <si>
    <t>16.33</t>
  </si>
  <si>
    <t>PF</t>
  </si>
  <si>
    <t>0</t>
  </si>
  <si>
    <t>C</t>
  </si>
  <si>
    <t>28.33</t>
  </si>
  <si>
    <t>34.67</t>
  </si>
  <si>
    <t>PG</t>
  </si>
  <si>
    <t>N/A</t>
  </si>
  <si>
    <t>22.67</t>
  </si>
  <si>
    <t>28</t>
  </si>
  <si>
    <t>33.67</t>
  </si>
  <si>
    <t>22.00</t>
  </si>
  <si>
    <t>26</t>
  </si>
  <si>
    <t>24.67</t>
  </si>
  <si>
    <t>1.33</t>
  </si>
  <si>
    <t>26.67</t>
  </si>
  <si>
    <t>30.00</t>
  </si>
  <si>
    <t>12.33</t>
  </si>
  <si>
    <t>9</t>
  </si>
  <si>
    <t>18.33</t>
  </si>
  <si>
    <t>20.67</t>
  </si>
  <si>
    <t>10.00</t>
  </si>
  <si>
    <t>13.67</t>
  </si>
  <si>
    <t>15</t>
  </si>
  <si>
    <t>Position</t>
  </si>
  <si>
    <t>Name</t>
  </si>
  <si>
    <t>IN</t>
  </si>
  <si>
    <t>Column1</t>
  </si>
  <si>
    <t>Score</t>
  </si>
  <si>
    <t>min</t>
  </si>
  <si>
    <t>max</t>
  </si>
  <si>
    <t>Min</t>
  </si>
  <si>
    <t>Opponent
          Opp</t>
  </si>
  <si>
    <t>FanDuel</t>
  </si>
  <si>
    <t>DraftKings</t>
  </si>
  <si>
    <t>Yahoo</t>
  </si>
  <si>
    <t>$3,500</t>
  </si>
  <si>
    <t>$10</t>
  </si>
  <si>
    <t>$6,800</t>
  </si>
  <si>
    <t>$28</t>
  </si>
  <si>
    <t>$18</t>
  </si>
  <si>
    <t>$5,100</t>
  </si>
  <si>
    <t>$12</t>
  </si>
  <si>
    <t>$4,000</t>
  </si>
  <si>
    <t>$11</t>
  </si>
  <si>
    <t>$7,200</t>
  </si>
  <si>
    <t>$23</t>
  </si>
  <si>
    <t>$5,500</t>
  </si>
  <si>
    <t>$13</t>
  </si>
  <si>
    <t>$4,200</t>
  </si>
  <si>
    <t>$5,600</t>
  </si>
  <si>
    <t>$14</t>
  </si>
  <si>
    <t>$7,900</t>
  </si>
  <si>
    <t>$33</t>
  </si>
  <si>
    <t>-</t>
  </si>
  <si>
    <t>$29</t>
  </si>
  <si>
    <t>$4,900</t>
  </si>
  <si>
    <t>$3,700</t>
  </si>
  <si>
    <t>$7,800</t>
  </si>
  <si>
    <t>$4,100</t>
  </si>
  <si>
    <t>$6,200</t>
  </si>
  <si>
    <t>$7,500</t>
  </si>
  <si>
    <t>$5,300</t>
  </si>
  <si>
    <t>$4,700</t>
  </si>
  <si>
    <t>$15</t>
  </si>
  <si>
    <t>$25</t>
  </si>
  <si>
    <t>$34</t>
  </si>
  <si>
    <t>$20</t>
  </si>
  <si>
    <t>$24</t>
  </si>
  <si>
    <t>$8,000</t>
  </si>
  <si>
    <t>$30</t>
  </si>
  <si>
    <t>$3,900</t>
  </si>
  <si>
    <t>$5,400</t>
  </si>
  <si>
    <t>$5,200</t>
  </si>
  <si>
    <t>$4,400</t>
  </si>
  <si>
    <t>$3,600</t>
  </si>
  <si>
    <t>$6,700</t>
  </si>
  <si>
    <t>$17</t>
  </si>
  <si>
    <t>$19</t>
  </si>
  <si>
    <t>$5,900</t>
  </si>
  <si>
    <t>$5,700</t>
  </si>
  <si>
    <t>$27</t>
  </si>
  <si>
    <t>$4,600</t>
  </si>
  <si>
    <t>$3,800</t>
  </si>
  <si>
    <t>$36</t>
  </si>
  <si>
    <t>$7,000</t>
  </si>
  <si>
    <t>$16</t>
  </si>
  <si>
    <t>$4,500</t>
  </si>
  <si>
    <t>$5,800</t>
  </si>
  <si>
    <t>Table 0 (2).FanDuel</t>
  </si>
  <si>
    <t>Player Name</t>
  </si>
  <si>
    <t>FanDuel FPts/min Last 5g</t>
  </si>
  <si>
    <t>FanDuel FPts/min Last 10g</t>
  </si>
  <si>
    <t>FanDuel FPts/min Season</t>
  </si>
  <si>
    <t>DraftKings FPts/min Last 5g</t>
  </si>
  <si>
    <t>DraftKings FPts/min Last 10g</t>
  </si>
  <si>
    <t>DraftKings FPts/min Season</t>
  </si>
  <si>
    <t>PLAYER NAME</t>
  </si>
  <si>
    <t>MATCHUP SALARY.1</t>
  </si>
  <si>
    <t>MATCHUP SALARY.2</t>
  </si>
  <si>
    <t>VEGAS POS</t>
  </si>
  <si>
    <t>PROJECTIONS TEAM</t>
  </si>
  <si>
    <t>OPP</t>
  </si>
  <si>
    <t>L5 DvP</t>
  </si>
  <si>
    <t>SPRD</t>
  </si>
  <si>
    <t>O/U</t>
  </si>
  <si>
    <t>TM PTS</t>
  </si>
  <si>
    <t>FP MIN</t>
  </si>
  <si>
    <t>FP AVG</t>
  </si>
  <si>
    <t>FP MAX</t>
  </si>
  <si>
    <t>FD FP PROJECTED</t>
  </si>
  <si>
    <t>VALUE PROJECTED</t>
  </si>
  <si>
    <t>Column16</t>
  </si>
  <si>
    <t>J.</t>
  </si>
  <si>
    <t>D.</t>
  </si>
  <si>
    <t>Chris</t>
  </si>
  <si>
    <t>$7.8k</t>
  </si>
  <si>
    <t>$7.9k</t>
  </si>
  <si>
    <t>$8.0k</t>
  </si>
  <si>
    <t>Brown</t>
  </si>
  <si>
    <t>B.</t>
  </si>
  <si>
    <t>$6.8k</t>
  </si>
  <si>
    <t>$5.7k</t>
  </si>
  <si>
    <t>A.</t>
  </si>
  <si>
    <t>$7.2k</t>
  </si>
  <si>
    <t>M.</t>
  </si>
  <si>
    <t>Josh</t>
  </si>
  <si>
    <t>R.</t>
  </si>
  <si>
    <t>Williams</t>
  </si>
  <si>
    <t>Gary</t>
  </si>
  <si>
    <t>$5.3k</t>
  </si>
  <si>
    <t>H.</t>
  </si>
  <si>
    <t>$7.5k</t>
  </si>
  <si>
    <t>$6.2k</t>
  </si>
  <si>
    <t>C.</t>
  </si>
  <si>
    <t>$5.5k</t>
  </si>
  <si>
    <t>$5.9k</t>
  </si>
  <si>
    <t>Smith</t>
  </si>
  <si>
    <t>$7.0k</t>
  </si>
  <si>
    <t>Eric</t>
  </si>
  <si>
    <t>$5.4k</t>
  </si>
  <si>
    <t>S.</t>
  </si>
  <si>
    <t>$5.6k</t>
  </si>
  <si>
    <t>$4.9k</t>
  </si>
  <si>
    <t>$6.7k</t>
  </si>
  <si>
    <t>I.</t>
  </si>
  <si>
    <t>$4.2k</t>
  </si>
  <si>
    <t>K.</t>
  </si>
  <si>
    <t>$5.1k</t>
  </si>
  <si>
    <t>$5.8k</t>
  </si>
  <si>
    <t>$4.0k</t>
  </si>
  <si>
    <t>$3.6k</t>
  </si>
  <si>
    <t>$4.6k</t>
  </si>
  <si>
    <t>$4.7k</t>
  </si>
  <si>
    <t>$4.4k</t>
  </si>
  <si>
    <t>$4.1k</t>
  </si>
  <si>
    <t>$4.5k</t>
  </si>
  <si>
    <t>G.</t>
  </si>
  <si>
    <t>$3.5k</t>
  </si>
  <si>
    <t>$3.9k</t>
  </si>
  <si>
    <t>$3.7k</t>
  </si>
  <si>
    <t>Luka</t>
  </si>
  <si>
    <t>$3.8k</t>
  </si>
  <si>
    <t>$5.2k</t>
  </si>
  <si>
    <t>P.</t>
  </si>
  <si>
    <t>Derrick</t>
  </si>
  <si>
    <t>L.</t>
  </si>
  <si>
    <t>T.</t>
  </si>
  <si>
    <t>F.</t>
  </si>
  <si>
    <t>Player.1</t>
  </si>
  <si>
    <t>Player.2</t>
  </si>
  <si>
    <t>Isaiah</t>
  </si>
  <si>
    <t>Jordan</t>
  </si>
  <si>
    <t>Kyle</t>
  </si>
  <si>
    <t>Matchup</t>
  </si>
  <si>
    <t>Spread</t>
  </si>
  <si>
    <t>Point Projection</t>
  </si>
  <si>
    <t>Value</t>
  </si>
  <si>
    <t>Fanduel Position</t>
  </si>
  <si>
    <t>Fanduel Position.2</t>
  </si>
  <si>
    <t>Table 0 (4).Fanduel Position</t>
  </si>
  <si>
    <t>Table 0 (4).Fanduel Position.2</t>
  </si>
  <si>
    <t>Predicted Points</t>
  </si>
  <si>
    <t>$8.1k</t>
  </si>
  <si>
    <t>$8.2k</t>
  </si>
  <si>
    <t>Ball</t>
  </si>
  <si>
    <t>$6.1k</t>
  </si>
  <si>
    <t>$7.1k</t>
  </si>
  <si>
    <t>$4.8k</t>
  </si>
  <si>
    <t>McDaniels</t>
  </si>
  <si>
    <t>Mike</t>
  </si>
  <si>
    <t>Gordon</t>
  </si>
  <si>
    <t>$4.3k</t>
  </si>
  <si>
    <t>Holiday</t>
  </si>
  <si>
    <t>V.</t>
  </si>
  <si>
    <t>Tyler</t>
  </si>
  <si>
    <t>$4,800</t>
  </si>
  <si>
    <t>$22</t>
  </si>
  <si>
    <t>$8,100</t>
  </si>
  <si>
    <t>$44</t>
  </si>
  <si>
    <t>$6,100</t>
  </si>
  <si>
    <t>$8,200</t>
  </si>
  <si>
    <t>$31</t>
  </si>
  <si>
    <t>$4,300</t>
  </si>
  <si>
    <t>$7,100</t>
  </si>
  <si>
    <t>15.00</t>
  </si>
  <si>
    <t>24</t>
  </si>
  <si>
    <t>33</t>
  </si>
  <si>
    <t>11</t>
  </si>
  <si>
    <t>$9.1k</t>
  </si>
  <si>
    <t>Bridges</t>
  </si>
  <si>
    <t>$7.7k</t>
  </si>
  <si>
    <t>$6.5k</t>
  </si>
  <si>
    <t>$5.0k</t>
  </si>
  <si>
    <t>Robinson</t>
  </si>
  <si>
    <t>Jackson</t>
  </si>
  <si>
    <t>Ish</t>
  </si>
  <si>
    <t>$6,500</t>
  </si>
  <si>
    <t>$5,000</t>
  </si>
  <si>
    <t>$7,700</t>
  </si>
  <si>
    <t>$9,100</t>
  </si>
  <si>
    <t>$41</t>
  </si>
  <si>
    <t>2</t>
  </si>
  <si>
    <t>10.67</t>
  </si>
  <si>
    <t>9.27</t>
  </si>
  <si>
    <t>Grant</t>
  </si>
  <si>
    <t>5.33</t>
  </si>
  <si>
    <t>Kelly</t>
  </si>
  <si>
    <t>Matt</t>
  </si>
  <si>
    <t>2.00</t>
  </si>
  <si>
    <t>Craig</t>
  </si>
  <si>
    <t>N.</t>
  </si>
  <si>
    <t>Curry</t>
  </si>
  <si>
    <t>$9.7k</t>
  </si>
  <si>
    <t>$9.8k</t>
  </si>
  <si>
    <t>Vucevic</t>
  </si>
  <si>
    <t>CHI</t>
  </si>
  <si>
    <t>DeRozan</t>
  </si>
  <si>
    <t>Zach</t>
  </si>
  <si>
    <t>LaVine</t>
  </si>
  <si>
    <t>$9.9k</t>
  </si>
  <si>
    <t>$8.5k</t>
  </si>
  <si>
    <t>WAS</t>
  </si>
  <si>
    <t>Kuzma</t>
  </si>
  <si>
    <t>$8.8k</t>
  </si>
  <si>
    <t>$7.3k</t>
  </si>
  <si>
    <t>Edwards</t>
  </si>
  <si>
    <t>$7.6k</t>
  </si>
  <si>
    <t>Dinwiddie</t>
  </si>
  <si>
    <t>Lonzo Ball_x000D_
PG · $7100FPTS_x000D_
32.3_x000D_
VALUE_x000D_
4.5x</t>
  </si>
  <si>
    <t>Lonzo</t>
  </si>
  <si>
    <t>Gafford</t>
  </si>
  <si>
    <t>Jones</t>
  </si>
  <si>
    <t>Harrell</t>
  </si>
  <si>
    <t>Coby</t>
  </si>
  <si>
    <t>White</t>
  </si>
  <si>
    <t>Caldwell-Pope</t>
  </si>
  <si>
    <t>Green</t>
  </si>
  <si>
    <t>Raul</t>
  </si>
  <si>
    <t>Neto</t>
  </si>
  <si>
    <t>Ayo</t>
  </si>
  <si>
    <t>Dosunmu</t>
  </si>
  <si>
    <t>Kispert</t>
  </si>
  <si>
    <t>Tre</t>
  </si>
  <si>
    <t>Rui</t>
  </si>
  <si>
    <t>Hachimura</t>
  </si>
  <si>
    <t>Deni</t>
  </si>
  <si>
    <t>Avdija</t>
  </si>
  <si>
    <t>John</t>
  </si>
  <si>
    <t>Tony</t>
  </si>
  <si>
    <t>Bradley</t>
  </si>
  <si>
    <t>Troy</t>
  </si>
  <si>
    <t>Bertans</t>
  </si>
  <si>
    <t>Thomas</t>
  </si>
  <si>
    <t>Bradley Beal O_x000D_
SG · $9500FPTS_x000D_
0.0_x000D_
VALUE_x000D_
0.0x</t>
  </si>
  <si>
    <t>Beal O</t>
  </si>
  <si>
    <t>$9.5k</t>
  </si>
  <si>
    <t>Green O</t>
  </si>
  <si>
    <t>Alex Caruso O_x000D_
PG/SG · $4800FPTS_x000D_
0.0_x000D_
VALUE_x000D_
0.0x</t>
  </si>
  <si>
    <t>Alex</t>
  </si>
  <si>
    <t>Caruso O</t>
  </si>
  <si>
    <t>T. Waters O_x000D_
PG · $3500FPTS_x000D_
0.0_x000D_
VALUE_x000D_
0.0x</t>
  </si>
  <si>
    <t>Waters O</t>
  </si>
  <si>
    <t>Johnson O</t>
  </si>
  <si>
    <t>Williams O</t>
  </si>
  <si>
    <t>J. Green O_x000D_
SG/SF · $5200FPTS_x000D_
0.0_x000D_
VALUE_x000D_
0.0x</t>
  </si>
  <si>
    <t>Tyler Cook O_x000D_
PF · $3500FPTS_x000D_
0.0_x000D_
VALUE_x000D_
0.0x</t>
  </si>
  <si>
    <t>Cook O</t>
  </si>
  <si>
    <t>P. Williams O_x000D_
SF/PF · $3500FPTS_x000D_
0.0_x000D_
VALUE_x000D_
0.0x</t>
  </si>
  <si>
    <t>Aaron Holiday</t>
  </si>
  <si>
    <t>@WAS</t>
  </si>
  <si>
    <t>Alex Caruso</t>
  </si>
  <si>
    <t>Alfonzo McKinnie</t>
  </si>
  <si>
    <t>Alize Johnson</t>
  </si>
  <si>
    <t>Anthony Gill</t>
  </si>
  <si>
    <t>Ayo Dosunmu</t>
  </si>
  <si>
    <t>@CHI</t>
  </si>
  <si>
    <t>Brad Wanamaker</t>
  </si>
  <si>
    <t>Bradley Beal</t>
  </si>
  <si>
    <t>$9,500</t>
  </si>
  <si>
    <t>$42</t>
  </si>
  <si>
    <t>Cassius Winston</t>
  </si>
  <si>
    <t>Coby White</t>
  </si>
  <si>
    <t>Corey Kispert</t>
  </si>
  <si>
    <t>Craig Sword</t>
  </si>
  <si>
    <t>$7,600</t>
  </si>
  <si>
    <t>Daniel Gafford</t>
  </si>
  <si>
    <t>Davis Bertans</t>
  </si>
  <si>
    <t>$7,300</t>
  </si>
  <si>
    <t>DeMar DeRozan</t>
  </si>
  <si>
    <t>$38</t>
  </si>
  <si>
    <t>Deni Avdija</t>
  </si>
  <si>
    <t>Derrick Jones Jr.</t>
  </si>
  <si>
    <t>$8,500</t>
  </si>
  <si>
    <t>Devon Dotson</t>
  </si>
  <si>
    <t>Ersan Ilyasova</t>
  </si>
  <si>
    <t>$9,700</t>
  </si>
  <si>
    <t>Greg Monroe</t>
  </si>
  <si>
    <t>Isaiah Todd</t>
  </si>
  <si>
    <t>$9,900</t>
  </si>
  <si>
    <t>Jaime Echenique</t>
  </si>
  <si>
    <t>Javonte Green</t>
  </si>
  <si>
    <t>Joel Ayayi</t>
  </si>
  <si>
    <t>Jordan Bell</t>
  </si>
  <si>
    <t>Jordan Schakel</t>
  </si>
  <si>
    <t>Kentavious Caldwell-Pope</t>
  </si>
  <si>
    <t>Kyle Kuzma</t>
  </si>
  <si>
    <t>$8,800</t>
  </si>
  <si>
    <t>Lonzo Ball</t>
  </si>
  <si>
    <t>Mac McClung</t>
  </si>
  <si>
    <t>Marko Simonovic</t>
  </si>
  <si>
    <t>Matt Thomas</t>
  </si>
  <si>
    <t>Montrezl Harrell</t>
  </si>
  <si>
    <t>Nikola Vucevic</t>
  </si>
  <si>
    <t>$9,800</t>
  </si>
  <si>
    <t>Patrick Williams</t>
  </si>
  <si>
    <t>Raul Neto</t>
  </si>
  <si>
    <t>Rui Hachimura</t>
  </si>
  <si>
    <t>Spencer Dinwiddie</t>
  </si>
  <si>
    <t>Thomas Bryant</t>
  </si>
  <si>
    <t>Tony Bradley</t>
  </si>
  <si>
    <t>Tremont Waters</t>
  </si>
  <si>
    <t>Troy Brown Jr.</t>
  </si>
  <si>
    <t>Tyler Cook</t>
  </si>
  <si>
    <t>Zach LaVine</t>
  </si>
  <si>
    <t>$35</t>
  </si>
  <si>
    <t>Cassius</t>
  </si>
  <si>
    <t>9.33</t>
  </si>
  <si>
    <t>0.00</t>
  </si>
  <si>
    <t>Sword</t>
  </si>
  <si>
    <t>6.00</t>
  </si>
  <si>
    <t>5</t>
  </si>
  <si>
    <t>8.33</t>
  </si>
  <si>
    <t>14.60</t>
  </si>
  <si>
    <t>24.13</t>
  </si>
  <si>
    <t>Greg</t>
  </si>
  <si>
    <t>Monroe</t>
  </si>
  <si>
    <t>10.87</t>
  </si>
  <si>
    <t>27.00</t>
  </si>
  <si>
    <t>4.00</t>
  </si>
  <si>
    <t>Schakel</t>
  </si>
  <si>
    <t>1</t>
  </si>
  <si>
    <t>5.67</t>
  </si>
  <si>
    <t>3.00</t>
  </si>
  <si>
    <t>14.67</t>
  </si>
  <si>
    <t>Aaron Henry</t>
  </si>
  <si>
    <t>PHI</t>
  </si>
  <si>
    <t>CHA</t>
  </si>
  <si>
    <t>ORL</t>
  </si>
  <si>
    <t>Aaron Nesmith</t>
  </si>
  <si>
    <t>BOS</t>
  </si>
  <si>
    <t>@IND</t>
  </si>
  <si>
    <t>Ade Murkey</t>
  </si>
  <si>
    <t>SAC</t>
  </si>
  <si>
    <t>LAL</t>
  </si>
  <si>
    <t>Admiral Schofield</t>
  </si>
  <si>
    <t>Ahmad Caver</t>
  </si>
  <si>
    <t>IND</t>
  </si>
  <si>
    <t>Al Horford</t>
  </si>
  <si>
    <t>Al-Farouq Aminu</t>
  </si>
  <si>
    <t>Alec Burks</t>
  </si>
  <si>
    <t>NY</t>
  </si>
  <si>
    <t>DAL</t>
  </si>
  <si>
    <t>BKN</t>
  </si>
  <si>
    <t>Alex Len</t>
  </si>
  <si>
    <t>Alperen Sengün</t>
  </si>
  <si>
    <t>HOU</t>
  </si>
  <si>
    <t>@SA</t>
  </si>
  <si>
    <t>Andre Drummond</t>
  </si>
  <si>
    <t>Anthony Davis</t>
  </si>
  <si>
    <t>@SAC</t>
  </si>
  <si>
    <t>$9,000</t>
  </si>
  <si>
    <t>Anthony Lamb</t>
  </si>
  <si>
    <t>SA</t>
  </si>
  <si>
    <t>Aric Holman</t>
  </si>
  <si>
    <t>MIA</t>
  </si>
  <si>
    <t>@ATL</t>
  </si>
  <si>
    <t>Armoni Brooks</t>
  </si>
  <si>
    <t>Arnoldas Kulboka</t>
  </si>
  <si>
    <t>@PHI</t>
  </si>
  <si>
    <t>Austin Reaves</t>
  </si>
  <si>
    <t>Avery Bradley</t>
  </si>
  <si>
    <t>Bam Adebayo</t>
  </si>
  <si>
    <t>Ben Simmons</t>
  </si>
  <si>
    <t>$7,400</t>
  </si>
  <si>
    <t>Blake Griffin</t>
  </si>
  <si>
    <t>Boban Marjanovic</t>
  </si>
  <si>
    <t>@NY</t>
  </si>
  <si>
    <t>Bogdan Bogdanovic</t>
  </si>
  <si>
    <t>ATL</t>
  </si>
  <si>
    <t>$6,000</t>
  </si>
  <si>
    <t>Bojan Bogdanovic</t>
  </si>
  <si>
    <t>UTA</t>
  </si>
  <si>
    <t>CLE</t>
  </si>
  <si>
    <t>$21</t>
  </si>
  <si>
    <t>Brandon Goodwin</t>
  </si>
  <si>
    <t>@UTA</t>
  </si>
  <si>
    <t>Brandon Knight</t>
  </si>
  <si>
    <t>Braxton Key</t>
  </si>
  <si>
    <t>Brodric Thomas</t>
  </si>
  <si>
    <t>Bruce Brown</t>
  </si>
  <si>
    <t>Bruno Fernando</t>
  </si>
  <si>
    <t>Bryn Forbes</t>
  </si>
  <si>
    <t>Buddy Hield</t>
  </si>
  <si>
    <t>C.J. Miles</t>
  </si>
  <si>
    <t>Caleb Martin</t>
  </si>
  <si>
    <t>Cam Reddish</t>
  </si>
  <si>
    <t>Cam Thomas</t>
  </si>
  <si>
    <t>Cameron Oliver</t>
  </si>
  <si>
    <t>Caris LeVert</t>
  </si>
  <si>
    <t>Carmelo Anthony</t>
  </si>
  <si>
    <t>Cedi Osman</t>
  </si>
  <si>
    <t>Charles Bassey</t>
  </si>
  <si>
    <t>Charlie Brown Jr.</t>
  </si>
  <si>
    <t>Chaundee Brown</t>
  </si>
  <si>
    <t>Chimezie Metu</t>
  </si>
  <si>
    <t>Chris Clemons</t>
  </si>
  <si>
    <t>Chris Duarte</t>
  </si>
  <si>
    <t>Chris Silva</t>
  </si>
  <si>
    <t>Christian Wood</t>
  </si>
  <si>
    <t>Chuma Okeke</t>
  </si>
  <si>
    <t>Clint Capela</t>
  </si>
  <si>
    <t>Cody Martin</t>
  </si>
  <si>
    <t>Cole Anthony</t>
  </si>
  <si>
    <t>Collin Sexton</t>
  </si>
  <si>
    <t>D.J. Augustin</t>
  </si>
  <si>
    <t>Daishen Nix</t>
  </si>
  <si>
    <t>Damian Jones</t>
  </si>
  <si>
    <t>Damyean Dotson</t>
  </si>
  <si>
    <t>Daniel Theis</t>
  </si>
  <si>
    <t>Danilo Gallinari</t>
  </si>
  <si>
    <t>Danny Green</t>
  </si>
  <si>
    <t>Danuel House Jr.</t>
  </si>
  <si>
    <t>Darius Garland</t>
  </si>
  <si>
    <t>David Duke Jr.</t>
  </si>
  <si>
    <t>David Nwaba</t>
  </si>
  <si>
    <t>Davion Mitchell</t>
  </si>
  <si>
    <t>Day'Ron Sharpe</t>
  </si>
  <si>
    <t>De'Aaron Fox</t>
  </si>
  <si>
    <t>De'Andre Hunter</t>
  </si>
  <si>
    <t>Dean Wade</t>
  </si>
  <si>
    <t>DeAndre Jordan</t>
  </si>
  <si>
    <t>DeAndre' Bembry</t>
  </si>
  <si>
    <t>DeJon Jarreau</t>
  </si>
  <si>
    <t>Dejounte Murray</t>
  </si>
  <si>
    <t>$10,200</t>
  </si>
  <si>
    <t>Delon Wright</t>
  </si>
  <si>
    <t>$8,300</t>
  </si>
  <si>
    <t>Dennis Schroder</t>
  </si>
  <si>
    <t>Denzel Valentine</t>
  </si>
  <si>
    <t>Derrick Rose</t>
  </si>
  <si>
    <t>Derrick White</t>
  </si>
  <si>
    <t>Devin Vassell</t>
  </si>
  <si>
    <t>Devontae Cacok</t>
  </si>
  <si>
    <t>Dewayne Dedmon</t>
  </si>
  <si>
    <t>Domantas Sabonis</t>
  </si>
  <si>
    <t>$10,300</t>
  </si>
  <si>
    <t>Donovan Mitchell</t>
  </si>
  <si>
    <t>Dorian Finney-Smith</t>
  </si>
  <si>
    <t>Doug McDermott</t>
  </si>
  <si>
    <t>Drew Eubanks</t>
  </si>
  <si>
    <t>Duane Washington Jr.</t>
  </si>
  <si>
    <t>Duncan Robinson</t>
  </si>
  <si>
    <t>Dwight Howard</t>
  </si>
  <si>
    <t>Dwight Powell</t>
  </si>
  <si>
    <t>Dylan Windler</t>
  </si>
  <si>
    <t>E'Twaun Moore</t>
  </si>
  <si>
    <t>Ed Davis</t>
  </si>
  <si>
    <t>Elijah Hughes</t>
  </si>
  <si>
    <t>Emmanuel Mudiay</t>
  </si>
  <si>
    <t>Enes Freedom</t>
  </si>
  <si>
    <t>Eric Gordon</t>
  </si>
  <si>
    <t>Eric Paschall</t>
  </si>
  <si>
    <t>Evan Fournier</t>
  </si>
  <si>
    <t>Evan Mobley</t>
  </si>
  <si>
    <t>Frank Ntilikina</t>
  </si>
  <si>
    <t>Franz Wagner</t>
  </si>
  <si>
    <t>Freddie Gillespie</t>
  </si>
  <si>
    <t>Furkan Korkmaz</t>
  </si>
  <si>
    <t>Gabe Vincent</t>
  </si>
  <si>
    <t>Garrison Mathews</t>
  </si>
  <si>
    <t>Gary Harris</t>
  </si>
  <si>
    <t>George King</t>
  </si>
  <si>
    <t>Georges Niang</t>
  </si>
  <si>
    <t>Goga Bitadze</t>
  </si>
  <si>
    <t>Gordon Hayward</t>
  </si>
  <si>
    <t>Gorgui Dieng</t>
  </si>
  <si>
    <t>Grant Williams</t>
  </si>
  <si>
    <t>Harrison Barnes</t>
  </si>
  <si>
    <t>Hassan Whiteside</t>
  </si>
  <si>
    <t>Ignas Brazdeikis</t>
  </si>
  <si>
    <t>Immanuel Quickley</t>
  </si>
  <si>
    <t>Isaac Okoro</t>
  </si>
  <si>
    <t>Isaiah Jackson</t>
  </si>
  <si>
    <t>Isaiah Joe</t>
  </si>
  <si>
    <t>Isaiah Thomas</t>
  </si>
  <si>
    <t>Ish Smith</t>
  </si>
  <si>
    <t>Jabari Parker</t>
  </si>
  <si>
    <t>Jaden Springer</t>
  </si>
  <si>
    <t>Jae'Sean Tate</t>
  </si>
  <si>
    <t>Jahmi'us Ramsey</t>
  </si>
  <si>
    <t>Jakob Poeltl</t>
  </si>
  <si>
    <t>Jalen Brunson</t>
  </si>
  <si>
    <t>$26</t>
  </si>
  <si>
    <t>Jalen Green</t>
  </si>
  <si>
    <t>Jalen Johnson</t>
  </si>
  <si>
    <t>Jalen McDaniels</t>
  </si>
  <si>
    <t>Jalen Suggs</t>
  </si>
  <si>
    <t>James Bouknight</t>
  </si>
  <si>
    <t>James Harden</t>
  </si>
  <si>
    <t>$49</t>
  </si>
  <si>
    <t>James Johnson</t>
  </si>
  <si>
    <t>Jaquori McLaughlin</t>
  </si>
  <si>
    <t>Jared Butler</t>
  </si>
  <si>
    <t>Jarrett Allen</t>
  </si>
  <si>
    <t>Jay Huff</t>
  </si>
  <si>
    <t>Jaylen Brown</t>
  </si>
  <si>
    <t>$8,900</t>
  </si>
  <si>
    <t>$37</t>
  </si>
  <si>
    <t>Jayson Tatum</t>
  </si>
  <si>
    <t>Jeremy Lamb</t>
  </si>
  <si>
    <t>Jericho Sims</t>
  </si>
  <si>
    <t>Jevon Carter</t>
  </si>
  <si>
    <t>Jimmy Butler</t>
  </si>
  <si>
    <t>$9,200</t>
  </si>
  <si>
    <t>$45</t>
  </si>
  <si>
    <t>Jock Landale</t>
  </si>
  <si>
    <t>Joe Harris</t>
  </si>
  <si>
    <t>Joe Ingles</t>
  </si>
  <si>
    <t>Joe Johnson</t>
  </si>
  <si>
    <t>Joe Wieskamp</t>
  </si>
  <si>
    <t>Joel Embiid</t>
  </si>
  <si>
    <t>$10,900</t>
  </si>
  <si>
    <t>$51</t>
  </si>
  <si>
    <t>John Collins</t>
  </si>
  <si>
    <t>John Wall</t>
  </si>
  <si>
    <t>Jonathan Isaac</t>
  </si>
  <si>
    <t>Jordan Clarkson</t>
  </si>
  <si>
    <t>Josh Christopher</t>
  </si>
  <si>
    <t>Josh Green</t>
  </si>
  <si>
    <t>Josh Richardson</t>
  </si>
  <si>
    <t>Joshua Primo</t>
  </si>
  <si>
    <t>JT Thor</t>
  </si>
  <si>
    <t>Juancho Hernangomez</t>
  </si>
  <si>
    <t>Julius Randle</t>
  </si>
  <si>
    <t>Justin Anderson</t>
  </si>
  <si>
    <t>Justin Holiday</t>
  </si>
  <si>
    <t>Justin Tillman</t>
  </si>
  <si>
    <t>Kai Jones</t>
  </si>
  <si>
    <t>Keifer Sykes</t>
  </si>
  <si>
    <t>Keita Bates-Diop</t>
  </si>
  <si>
    <t>Kelan Martin</t>
  </si>
  <si>
    <t>Keldon Johnson</t>
  </si>
  <si>
    <t>Kelly Oubre Jr.</t>
  </si>
  <si>
    <t>Kemba Walker</t>
  </si>
  <si>
    <t>Kendrick Nunn</t>
  </si>
  <si>
    <t>Kent Bazemore</t>
  </si>
  <si>
    <t>Kenyon Martin Jr.</t>
  </si>
  <si>
    <t>Kessler Edwards</t>
  </si>
  <si>
    <t>Kevin Durant</t>
  </si>
  <si>
    <t>$11,000</t>
  </si>
  <si>
    <t>$52</t>
  </si>
  <si>
    <t>Kevin Huerter</t>
  </si>
  <si>
    <t>Kevin Knox II</t>
  </si>
  <si>
    <t>Kevin Love</t>
  </si>
  <si>
    <t>Kevin Pangos</t>
  </si>
  <si>
    <t>Kevin Porter Jr.</t>
  </si>
  <si>
    <t>Kristaps Porzingis</t>
  </si>
  <si>
    <t>$9,600</t>
  </si>
  <si>
    <t>Kyle Guy</t>
  </si>
  <si>
    <t>Kyle Lowry</t>
  </si>
  <si>
    <t>Kyrie Irving</t>
  </si>
  <si>
    <t>KZ Okpala</t>
  </si>
  <si>
    <t>Lamar Stevens</t>
  </si>
  <si>
    <t>LaMarcus Aldridge</t>
  </si>
  <si>
    <t>LaMelo Ball</t>
  </si>
  <si>
    <t>Lance Stephenson</t>
  </si>
  <si>
    <t>$6,400</t>
  </si>
  <si>
    <t>Lauri Markkanen</t>
  </si>
  <si>
    <t>LeBron James</t>
  </si>
  <si>
    <t>$11,300</t>
  </si>
  <si>
    <t>$55</t>
  </si>
  <si>
    <t>Lonnie Walker IV</t>
  </si>
  <si>
    <t>Lou Williams</t>
  </si>
  <si>
    <t>Louis King</t>
  </si>
  <si>
    <t>Luka Doncic</t>
  </si>
  <si>
    <t>$10,500</t>
  </si>
  <si>
    <t>Luka Samanic</t>
  </si>
  <si>
    <t>Malcolm Brogdon</t>
  </si>
  <si>
    <t>Malik Fitts</t>
  </si>
  <si>
    <t>Malik Monk</t>
  </si>
  <si>
    <t>Malik Newman</t>
  </si>
  <si>
    <t>Marcus Garrett</t>
  </si>
  <si>
    <t>Marcus Smart</t>
  </si>
  <si>
    <t>Mario Chalmers</t>
  </si>
  <si>
    <t>Markelle Fultz</t>
  </si>
  <si>
    <t>Markieff Morris</t>
  </si>
  <si>
    <t>Marquese Chriss</t>
  </si>
  <si>
    <t>Marvin Bagley III</t>
  </si>
  <si>
    <t>Mason Jones</t>
  </si>
  <si>
    <t>Mason Plumlee</t>
  </si>
  <si>
    <t>Matisse Thybulle</t>
  </si>
  <si>
    <t>Matt Mooney</t>
  </si>
  <si>
    <t>Maurice Harkless</t>
  </si>
  <si>
    <t>Max Strus</t>
  </si>
  <si>
    <t>Maxi Kleber</t>
  </si>
  <si>
    <t>Michael Carter-Williams</t>
  </si>
  <si>
    <t>Mike Conley</t>
  </si>
  <si>
    <t>Miles Bridges</t>
  </si>
  <si>
    <t>Miles McBride</t>
  </si>
  <si>
    <t>Mitchell Robinson</t>
  </si>
  <si>
    <t>Mo Bamba</t>
  </si>
  <si>
    <t>Moritz Wagner</t>
  </si>
  <si>
    <t>Moses Brown</t>
  </si>
  <si>
    <t>Mychal Mulder</t>
  </si>
  <si>
    <t>Myles Powell</t>
  </si>
  <si>
    <t>Myles Turner</t>
  </si>
  <si>
    <t>Nate Hinton</t>
  </si>
  <si>
    <t>Neemias Queta</t>
  </si>
  <si>
    <t>Nerlens Noel</t>
  </si>
  <si>
    <t>Nick Richards</t>
  </si>
  <si>
    <t>Nicolas Claxton</t>
  </si>
  <si>
    <t>Nik Stauskas</t>
  </si>
  <si>
    <t>Norvel Pelle</t>
  </si>
  <si>
    <t>Obi Toppin</t>
  </si>
  <si>
    <t>Onyeka Okongwu</t>
  </si>
  <si>
    <t>Oshae Brissett</t>
  </si>
  <si>
    <t>P.J. Tucker</t>
  </si>
  <si>
    <t>P.J. Washington</t>
  </si>
  <si>
    <t>Patty Mills</t>
  </si>
  <si>
    <t>Paul Millsap</t>
  </si>
  <si>
    <t>Paul Reed</t>
  </si>
  <si>
    <t>Payton Pritchard</t>
  </si>
  <si>
    <t>Quentin Grimes</t>
  </si>
  <si>
    <t>R.J. Hampton</t>
  </si>
  <si>
    <t>Rajon Rondo</t>
  </si>
  <si>
    <t>Reggie Bullock</t>
  </si>
  <si>
    <t>Richaun Holmes</t>
  </si>
  <si>
    <t>Ricky Rubio</t>
  </si>
  <si>
    <t>RJ Barrett</t>
  </si>
  <si>
    <t>RJ Nembhard Jr.</t>
  </si>
  <si>
    <t>Robert Williams III</t>
  </si>
  <si>
    <t>Robert Woodard II</t>
  </si>
  <si>
    <t>Robin Lopez</t>
  </si>
  <si>
    <t>Romeo Langford</t>
  </si>
  <si>
    <t>Royce O'Neale</t>
  </si>
  <si>
    <t>Rudy Gay</t>
  </si>
  <si>
    <t>Rudy Gobert</t>
  </si>
  <si>
    <t>$39</t>
  </si>
  <si>
    <t>Russell Westbrook</t>
  </si>
  <si>
    <t>$8,400</t>
  </si>
  <si>
    <t>Ryan Arcidiacono</t>
  </si>
  <si>
    <t>Sam Hauser</t>
  </si>
  <si>
    <t>Scottie Lewis</t>
  </si>
  <si>
    <t>Seth Curry</t>
  </si>
  <si>
    <t>Shake Milton</t>
  </si>
  <si>
    <t>Shaquille Harrison</t>
  </si>
  <si>
    <t>Sharife Cooper</t>
  </si>
  <si>
    <t>Skylar Mays</t>
  </si>
  <si>
    <t>Solomon Hill</t>
  </si>
  <si>
    <t>Stanley Johnson</t>
  </si>
  <si>
    <t>Sterling Brown</t>
  </si>
  <si>
    <t>T.J. McConnell</t>
  </si>
  <si>
    <t>T.J. Warren</t>
  </si>
  <si>
    <t>Tacko Fall</t>
  </si>
  <si>
    <t>Taj Gibson</t>
  </si>
  <si>
    <t>Talen Horton-Tucker</t>
  </si>
  <si>
    <t>Terence Davis</t>
  </si>
  <si>
    <t>Terrence Ross</t>
  </si>
  <si>
    <t>Terry Rozier</t>
  </si>
  <si>
    <t>Terry Taylor</t>
  </si>
  <si>
    <t>Thaddeus Young</t>
  </si>
  <si>
    <t>Theo Pinson</t>
  </si>
  <si>
    <t>Tim Frazier</t>
  </si>
  <si>
    <t>Tim Hardaway Jr.</t>
  </si>
  <si>
    <t>Timothe Luwawu-Cabarrot</t>
  </si>
  <si>
    <t>Tobias Harris</t>
  </si>
  <si>
    <t>Torrey Craig</t>
  </si>
  <si>
    <t>Trae Young</t>
  </si>
  <si>
    <t>$47</t>
  </si>
  <si>
    <t>Tre Jones</t>
  </si>
  <si>
    <t>Trent Forrest</t>
  </si>
  <si>
    <t>Trevelin Queen</t>
  </si>
  <si>
    <t>Trevon Scott</t>
  </si>
  <si>
    <t>Trevor Ariza</t>
  </si>
  <si>
    <t>Trey Burke</t>
  </si>
  <si>
    <t>Tristan Thompson</t>
  </si>
  <si>
    <t>Tyler Herro</t>
  </si>
  <si>
    <t>Tyler Johnson</t>
  </si>
  <si>
    <t>Tyrese Haliburton</t>
  </si>
  <si>
    <t>Tyrese Maxey</t>
  </si>
  <si>
    <t>Udoka Azubuike</t>
  </si>
  <si>
    <t>Udonis Haslem</t>
  </si>
  <si>
    <t>Usman Garuba</t>
  </si>
  <si>
    <t>Vernon Carey Jr.</t>
  </si>
  <si>
    <t>Victor Oladipo</t>
  </si>
  <si>
    <t>Wayne Ellington</t>
  </si>
  <si>
    <t>Wendell Carter Jr.</t>
  </si>
  <si>
    <t>Wes Iwundu</t>
  </si>
  <si>
    <t>Willie Cauley-Stein</t>
  </si>
  <si>
    <t>Zach Collins</t>
  </si>
  <si>
    <t>Ömer Yurtseven</t>
  </si>
  <si>
    <t>SAS</t>
  </si>
  <si>
    <t>BRO</t>
  </si>
  <si>
    <t>Alperen Sengun</t>
  </si>
  <si>
    <t>NYK</t>
  </si>
  <si>
    <t>Cameron Thomas</t>
  </si>
  <si>
    <t>Ishmael Smith</t>
  </si>
  <si>
    <t>Charles Brown Jr.</t>
  </si>
  <si>
    <t>Jaylen Morris</t>
  </si>
  <si>
    <t>L. James Q_x000D_
SF/PF · $11300FPTS_x000D_
55.2_x000D_
VALUE_x000D_
4.9x</t>
  </si>
  <si>
    <t>James Q</t>
  </si>
  <si>
    <t>$11.3k</t>
  </si>
  <si>
    <t>Joel Embiid_x000D_
C · $10900FPTS_x000D_
52.8_x000D_
VALUE_x000D_
4.8x</t>
  </si>
  <si>
    <t>Joel</t>
  </si>
  <si>
    <t>Embiid</t>
  </si>
  <si>
    <t>$10.9k</t>
  </si>
  <si>
    <t>K. Durant_x000D_
SF/PF · $11000FPTS_x000D_
51.7_x000D_
VALUE_x000D_
4.7x</t>
  </si>
  <si>
    <t>Durant</t>
  </si>
  <si>
    <t>$11.0k</t>
  </si>
  <si>
    <t>Luka Doncic_x000D_
PG/SG · $10500FPTS_x000D_
47.7_x000D_
VALUE_x000D_
4.5x</t>
  </si>
  <si>
    <t>Doncic</t>
  </si>
  <si>
    <t>$10.5k</t>
  </si>
  <si>
    <t>D. Murray_x000D_
PG/SG · $10200FPTS_x000D_
46.9_x000D_
VALUE_x000D_
4.6x</t>
  </si>
  <si>
    <t>Murray</t>
  </si>
  <si>
    <t>$10.2k</t>
  </si>
  <si>
    <t>J. Harden Q_x000D_
SG/PG · $9800FPTS_x000D_
46.8_x000D_
VALUE_x000D_
4.8x</t>
  </si>
  <si>
    <t>Harden Q</t>
  </si>
  <si>
    <t>Trae Young_x000D_
PG · $9900FPTS_x000D_
46.6_x000D_
VALUE_x000D_
4.7x</t>
  </si>
  <si>
    <t>Trae</t>
  </si>
  <si>
    <t>Young</t>
  </si>
  <si>
    <t>D. Mitchell_x000D_
SG/PG · $8500FPTS_x000D_
43.3_x000D_
VALUE_x000D_
5.1x</t>
  </si>
  <si>
    <t>Mitchell</t>
  </si>
  <si>
    <t>D. Sabonis_x000D_
PF/C · $10300FPTS_x000D_
42.7_x000D_
VALUE_x000D_
4.1x</t>
  </si>
  <si>
    <t>Sabonis</t>
  </si>
  <si>
    <t>$10.3k</t>
  </si>
  <si>
    <t>LaMelo Ball_x000D_
PG · $8000FPTS_x000D_
42.5_x000D_
VALUE_x000D_
5.3x</t>
  </si>
  <si>
    <t>LaMelo</t>
  </si>
  <si>
    <t>R. Westbrook_x000D_
PG · $8400FPTS_x000D_
42.4_x000D_
VALUE_x000D_
5.0x</t>
  </si>
  <si>
    <t>Westbrook</t>
  </si>
  <si>
    <t>$8.4k</t>
  </si>
  <si>
    <t>J. Tatum_x000D_
SF/PF · $9700FPTS_x000D_
42.1_x000D_
VALUE_x000D_
4.3x</t>
  </si>
  <si>
    <t>Tatum</t>
  </si>
  <si>
    <t>N. Vucevic_x000D_
C · $9100FPTS_x000D_
42.1_x000D_
VALUE_x000D_
4.6x</t>
  </si>
  <si>
    <t>D. DeRozan_x000D_
SG/SF · $8300FPTS_x000D_
41.0_x000D_
VALUE_x000D_
4.9x</t>
  </si>
  <si>
    <t>$8.3k</t>
  </si>
  <si>
    <t>K. Irving Q_x000D_
PG/SG · $8200FPTS_x000D_
40.3_x000D_
VALUE_x000D_
4.9x</t>
  </si>
  <si>
    <t>Irving Q</t>
  </si>
  <si>
    <t>J. Randle_x000D_
PF/C · $8500FPTS_x000D_
40.2_x000D_
VALUE_x000D_
4.7x</t>
  </si>
  <si>
    <t>Randle</t>
  </si>
  <si>
    <t>J. Brown_x000D_
SF/SG · $8900FPTS_x000D_
39.6_x000D_
VALUE_x000D_
4.5x</t>
  </si>
  <si>
    <t>$8.9k</t>
  </si>
  <si>
    <t>Zach LaVine_x000D_
SG · $7200FPTS_x000D_
38.9_x000D_
VALUE_x000D_
5.4x</t>
  </si>
  <si>
    <t>J. Allen_x000D_
C/PF · $8000FPTS_x000D_
38.7_x000D_
VALUE_x000D_
4.8x</t>
  </si>
  <si>
    <t>Allen</t>
  </si>
  <si>
    <t>H. Whiteside_x000D_
C · $7000FPTS_x000D_
38.4_x000D_
VALUE_x000D_
5.5x</t>
  </si>
  <si>
    <t>Whiteside</t>
  </si>
  <si>
    <t>Christian Wood_x000D_
PF/C · $7000FPTS_x000D_
37.9_x000D_
VALUE_x000D_
5.4x</t>
  </si>
  <si>
    <t>Christian</t>
  </si>
  <si>
    <t>Wood</t>
  </si>
  <si>
    <t>Kyle Kuzma_x000D_
SF/PF · $8900FPTS_x000D_
37.5_x000D_
VALUE_x000D_
4.2x</t>
  </si>
  <si>
    <t>J. Poeltl_x000D_
C · $6100FPTS_x000D_
37.5_x000D_
VALUE_x000D_
6.2x</t>
  </si>
  <si>
    <t>Poeltl</t>
  </si>
  <si>
    <t>Cole Anthony_x000D_
PG/SG · $7400FPTS_x000D_
37.2_x000D_
VALUE_x000D_
5.0x</t>
  </si>
  <si>
    <t>Cole</t>
  </si>
  <si>
    <t>Anthony</t>
  </si>
  <si>
    <t>$7.4k</t>
  </si>
  <si>
    <t>T. Harris Q_x000D_
PF/SF · $7800FPTS_x000D_
37.1_x000D_
VALUE_x000D_
4.8x</t>
  </si>
  <si>
    <t>Harris Q</t>
  </si>
  <si>
    <t>M. Bridges_x000D_
SF · $7900FPTS_x000D_
37.1_x000D_
VALUE_x000D_
4.7x</t>
  </si>
  <si>
    <t>Kyle Lowry_x000D_
PG · $7200FPTS_x000D_
36.7_x000D_
VALUE_x000D_
5.1x</t>
  </si>
  <si>
    <t>Lowry</t>
  </si>
  <si>
    <t>T. Haliburton_x000D_
PG/SG · $7800FPTS_x000D_
36.2_x000D_
VALUE_x000D_
4.6x</t>
  </si>
  <si>
    <t>Haliburton</t>
  </si>
  <si>
    <t>De'Aaron Fox_x000D_
PG · $8100FPTS_x000D_
35.5_x000D_
VALUE_x000D_
4.4x</t>
  </si>
  <si>
    <t>De'Aaron</t>
  </si>
  <si>
    <t>Fox</t>
  </si>
  <si>
    <t>S. Dinwiddie_x000D_
PG · $7100FPTS_x000D_
35.4_x000D_
VALUE_x000D_
5.0x</t>
  </si>
  <si>
    <t>R. Williams_x000D_
PF/C · $7600FPTS_x000D_
35.4_x000D_
VALUE_x000D_
4.7x</t>
  </si>
  <si>
    <t>Evan Mobley_x000D_
C/PF · $7700FPTS_x000D_
34.9_x000D_
VALUE_x000D_
4.5x</t>
  </si>
  <si>
    <t>Evan</t>
  </si>
  <si>
    <t>Mobley</t>
  </si>
  <si>
    <t>D. Garland_x000D_
SG/PG · $7700FPTS_x000D_
34.8_x000D_
VALUE_x000D_
4.5x</t>
  </si>
  <si>
    <t>Garland</t>
  </si>
  <si>
    <t>T. Herro_x000D_
SG/SF · $6500FPTS_x000D_
34.7_x000D_
VALUE_x000D_
5.3x</t>
  </si>
  <si>
    <t>Herro</t>
  </si>
  <si>
    <t>T. Rozier_x000D_
SG/PG · $7300FPTS_x000D_
34.6_x000D_
VALUE_x000D_
4.7x</t>
  </si>
  <si>
    <t>Rozier</t>
  </si>
  <si>
    <t>John Collins Q_x000D_
PF/C · $8100FPTS_x000D_
34.4_x000D_
VALUE_x000D_
4.3x</t>
  </si>
  <si>
    <t>Collins Q</t>
  </si>
  <si>
    <t>Omer Yurtseven_x000D_
C · $6800FPTS_x000D_
33.8_x000D_
VALUE_x000D_
5.0x</t>
  </si>
  <si>
    <t>Omer</t>
  </si>
  <si>
    <t>Yurtseven</t>
  </si>
  <si>
    <t>C. LeVert Q_x000D_
SG/SF · $9100FPTS_x000D_
32.9_x000D_
VALUE_x000D_
3.6x</t>
  </si>
  <si>
    <t>LeVert Q</t>
  </si>
  <si>
    <t>O. Okongwu_x000D_
C · $3900FPTS_x000D_
31.7_x000D_
VALUE_x000D_
8.1x</t>
  </si>
  <si>
    <t>O.</t>
  </si>
  <si>
    <t>Okongwu</t>
  </si>
  <si>
    <t>G. Hayward_x000D_
SF/SG · $6500FPTS_x000D_
31.2_x000D_
VALUE_x000D_
4.8x</t>
  </si>
  <si>
    <t>Hayward</t>
  </si>
  <si>
    <t>M. Brogdon Q_x000D_
PG/SG · $7000FPTS_x000D_
30.7_x000D_
VALUE_x000D_
4.4x</t>
  </si>
  <si>
    <t>Brogdon Q</t>
  </si>
  <si>
    <t>Mike Conley_x000D_
PG · $6500FPTS_x000D_
30.6_x000D_
VALUE_x000D_
4.7x</t>
  </si>
  <si>
    <t>Conley</t>
  </si>
  <si>
    <t>D. White Q_x000D_
PG · $7100FPTS_x000D_
30.4_x000D_
VALUE_x000D_
4.3x</t>
  </si>
  <si>
    <t>White Q</t>
  </si>
  <si>
    <t>M. Turner_x000D_
C/PF · $7500FPTS_x000D_
29.8_x000D_
VALUE_x000D_
4.0x</t>
  </si>
  <si>
    <t>Turner</t>
  </si>
  <si>
    <t>F. Wagner_x000D_
SF/SG · $6100FPTS_x000D_
29.4_x000D_
VALUE_x000D_
4.8x</t>
  </si>
  <si>
    <t>Wagner</t>
  </si>
  <si>
    <t>J. Brunson_x000D_
PG/SG · $5800FPTS_x000D_
29.0_x000D_
VALUE_x000D_
5.0x</t>
  </si>
  <si>
    <t>Brunson</t>
  </si>
  <si>
    <t>Kevin Love_x000D_
PF/C · $6700FPTS_x000D_
28.8_x000D_
VALUE_x000D_
4.3x</t>
  </si>
  <si>
    <t>Kevin</t>
  </si>
  <si>
    <t>Love</t>
  </si>
  <si>
    <t>Malik Monk_x000D_
SG · $5500FPTS_x000D_
28.6_x000D_
VALUE_x000D_
5.2x</t>
  </si>
  <si>
    <t>Malik</t>
  </si>
  <si>
    <t>Monk</t>
  </si>
  <si>
    <t>T. Maxey_x000D_
PG/SG · $6200FPTS_x000D_
28.4_x000D_
VALUE_x000D_
4.6x</t>
  </si>
  <si>
    <t>Maxey</t>
  </si>
  <si>
    <t>Seth Curry Q_x000D_
PG/SG · $6700FPTS_x000D_
28.1_x000D_
VALUE_x000D_
4.2x</t>
  </si>
  <si>
    <t>Seth</t>
  </si>
  <si>
    <t>Curry Q</t>
  </si>
  <si>
    <t>B. Bogdanovic_x000D_
SF/PF · $6500FPTS_x000D_
28.0_x000D_
VALUE_x000D_
4.3x</t>
  </si>
  <si>
    <t>Bogdanovic</t>
  </si>
  <si>
    <t>C. Okeke_x000D_
PF · $5500FPTS_x000D_
27.6_x000D_
VALUE_x000D_
5.0x</t>
  </si>
  <si>
    <t>Okeke</t>
  </si>
  <si>
    <t>RJ Barrett_x000D_
SF/SG · $6200FPTS_x000D_
27.5_x000D_
VALUE_x000D_
4.4x</t>
  </si>
  <si>
    <t>RJ</t>
  </si>
  <si>
    <t>Barrett</t>
  </si>
  <si>
    <t>H. Barnes_x000D_
SF/PF · $5000FPTS_x000D_
27.5_x000D_
VALUE_x000D_
5.5x</t>
  </si>
  <si>
    <t>Barnes</t>
  </si>
  <si>
    <t>D. Schroder_x000D_
PG/SG · $5300FPTS_x000D_
26.7_x000D_
VALUE_x000D_
5.0x</t>
  </si>
  <si>
    <t>Schroder</t>
  </si>
  <si>
    <t>B. Bogdanovic_x000D_
SF/SG · $6000FPTS_x000D_
26.2_x000D_
VALUE_x000D_
4.4x</t>
  </si>
  <si>
    <t>$6.0k</t>
  </si>
  <si>
    <t>K. Porter_x000D_
SF/PG · $5900FPTS_x000D_
25.8_x000D_
VALUE_x000D_
4.4x</t>
  </si>
  <si>
    <t>Porter</t>
  </si>
  <si>
    <t>K. Johnson Q_x000D_
PF/SF · $5200FPTS_x000D_
25.8_x000D_
VALUE_x000D_
5.0x</t>
  </si>
  <si>
    <t>Johnson Q</t>
  </si>
  <si>
    <t>L. Markkanen_x000D_
PF/SF · $5400FPTS_x000D_
25.7_x000D_
VALUE_x000D_
4.8x</t>
  </si>
  <si>
    <t>Markkanen</t>
  </si>
  <si>
    <t>Terrence Ross_x000D_
SG/SF · $5700FPTS_x000D_
25.5_x000D_
VALUE_x000D_
4.5x</t>
  </si>
  <si>
    <t>Terrence</t>
  </si>
  <si>
    <t>Ross</t>
  </si>
  <si>
    <t>N. Claxton Q_x000D_
C/PF · $5200FPTS_x000D_
25.5_x000D_
VALUE_x000D_
4.9x</t>
  </si>
  <si>
    <t>Claxton Q</t>
  </si>
  <si>
    <t>D. Gafford_x000D_
C · $5600FPTS_x000D_
25.4_x000D_
VALUE_x000D_
4.5x</t>
  </si>
  <si>
    <t>B. Hield_x000D_
SG/SF · $5100FPTS_x000D_
25.3_x000D_
VALUE_x000D_
5.0x</t>
  </si>
  <si>
    <t>Hield</t>
  </si>
  <si>
    <t>M. Robinson_x000D_
C · $4800FPTS_x000D_
25.1_x000D_
VALUE_x000D_
5.2x</t>
  </si>
  <si>
    <t>K. Caldwell-Pope_x000D_
SG/SF · $4800FPTS_x000D_
24.9_x000D_
VALUE_x000D_
5.2x</t>
  </si>
  <si>
    <t>Al Horford_x000D_
PF/C · $5800FPTS_x000D_
24.9_x000D_
VALUE_x000D_
4.3x</t>
  </si>
  <si>
    <t>Al</t>
  </si>
  <si>
    <t>Horford</t>
  </si>
  <si>
    <t>Jae'Sean Tate_x000D_
SF/PF · $5600FPTS_x000D_
24.6_x000D_
VALUE_x000D_
4.4x</t>
  </si>
  <si>
    <t>Jae'Sean</t>
  </si>
  <si>
    <t>Tate</t>
  </si>
  <si>
    <t>Coby White_x000D_
PG/SG · $5500FPTS_x000D_
24.5_x000D_
VALUE_x000D_
4.5x</t>
  </si>
  <si>
    <t>K. Walker Q_x000D_
PG · $5200FPTS_x000D_
24.5_x000D_
VALUE_x000D_
4.7x</t>
  </si>
  <si>
    <t>Walker Q</t>
  </si>
  <si>
    <t>D. Cacok_x000D_
PF/C · $3900FPTS_x000D_
24.4_x000D_
VALUE_x000D_
6.3x</t>
  </si>
  <si>
    <t>Cacok</t>
  </si>
  <si>
    <t>C. Martin_x000D_
SG/SF · $5200FPTS_x000D_
24.4_x000D_
VALUE_x000D_
4.7x</t>
  </si>
  <si>
    <t>Martin</t>
  </si>
  <si>
    <t>J. Clarkson_x000D_
PG/SG · $5600FPTS_x000D_
24.2_x000D_
VALUE_x000D_
4.3x</t>
  </si>
  <si>
    <t>Clarkson</t>
  </si>
  <si>
    <t>Maxi Kleber_x000D_
PF · $5600FPTS_x000D_
23.9_x000D_
VALUE_x000D_
4.3x</t>
  </si>
  <si>
    <t>Maxi</t>
  </si>
  <si>
    <t>Kleber</t>
  </si>
  <si>
    <t>P.J. Washington_x000D_
PF/C · $5700FPTS_x000D_
23.6_x000D_
VALUE_x000D_
4.1x</t>
  </si>
  <si>
    <t>P.J.</t>
  </si>
  <si>
    <t>Washington</t>
  </si>
  <si>
    <t>Alex Len_x000D_
C/PF · $4700FPTS_x000D_
23.5_x000D_
VALUE_x000D_
5.0x</t>
  </si>
  <si>
    <t>Len</t>
  </si>
  <si>
    <t>Tim Hardaway_x000D_
SG/SF · $5400FPTS_x000D_
23.4_x000D_
VALUE_x000D_
4.3x</t>
  </si>
  <si>
    <t>Tim</t>
  </si>
  <si>
    <t>Hardaway</t>
  </si>
  <si>
    <t>M. Harrell_x000D_
C/PF · $4900FPTS_x000D_
23.4_x000D_
VALUE_x000D_
4.8x</t>
  </si>
  <si>
    <t>R. Lopez_x000D_
C · $4900FPTS_x000D_
23.2_x000D_
VALUE_x000D_
4.7x</t>
  </si>
  <si>
    <t>Lopez</t>
  </si>
  <si>
    <t>P.J. Tucker_x000D_
PF/C · $5400FPTS_x000D_
23.1_x000D_
VALUE_x000D_
4.3x</t>
  </si>
  <si>
    <t>Tucker</t>
  </si>
  <si>
    <t>K. Huerter_x000D_
SG/SF · $5600FPTS_x000D_
22.7_x000D_
VALUE_x000D_
4.0x</t>
  </si>
  <si>
    <t>Huerter</t>
  </si>
  <si>
    <t>D. Finney-Smith_x000D_
SF/SG · $5300FPTS_x000D_
22.6_x000D_
VALUE_x000D_
4.3x</t>
  </si>
  <si>
    <t>Finney-Smith</t>
  </si>
  <si>
    <t>J. Green_x000D_
SG/PG · $4900FPTS_x000D_
22.5_x000D_
VALUE_x000D_
4.6x</t>
  </si>
  <si>
    <t>Gary Harris_x000D_
SG/SF · $5000FPTS_x000D_
22.4_x000D_
VALUE_x000D_
4.5x</t>
  </si>
  <si>
    <t>Harris</t>
  </si>
  <si>
    <t>Cedi Osman_x000D_
SF/PF · $4700FPTS_x000D_
22.2_x000D_
VALUE_x000D_
4.7x</t>
  </si>
  <si>
    <t>Cedi</t>
  </si>
  <si>
    <t>Osman</t>
  </si>
  <si>
    <t>C. Anthony Q_x000D_
SF/PF · $5400FPTS_x000D_
22.2_x000D_
VALUE_x000D_
4.1x</t>
  </si>
  <si>
    <t>Anthony Q</t>
  </si>
  <si>
    <t>D. Robinson_x000D_
SG · $5200FPTS_x000D_
22.1_x000D_
VALUE_x000D_
4.3x</t>
  </si>
  <si>
    <t>Cody Martin_x000D_
SG/PG · $4300FPTS_x000D_
22.0_x000D_
VALUE_x000D_
5.1x</t>
  </si>
  <si>
    <t>Cody</t>
  </si>
  <si>
    <t>D. Washington_x000D_
SG · $4100FPTS_x000D_
21.7_x000D_
VALUE_x000D_
5.3x</t>
  </si>
  <si>
    <t>M. Wagner_x000D_
PF · $3500FPTS_x000D_
21.6_x000D_
VALUE_x000D_
6.2x</t>
  </si>
  <si>
    <t>Chimezie Metu_x000D_
C · $4400FPTS_x000D_
21.6_x000D_
VALUE_x000D_
4.9x</t>
  </si>
  <si>
    <t>Chimezie</t>
  </si>
  <si>
    <t>Metu</t>
  </si>
  <si>
    <t>D. Vassell Q_x000D_
SG · $5000FPTS_x000D_
21.3_x000D_
VALUE_x000D_
4.3x</t>
  </si>
  <si>
    <t>Vassell Q</t>
  </si>
  <si>
    <t>K. Sykes_x000D_
PG · $5600FPTS_x000D_
21.3_x000D_
VALUE_x000D_
3.8x</t>
  </si>
  <si>
    <t>Sykes</t>
  </si>
  <si>
    <t>M. Bagley_x000D_
PF/C · $4400FPTS_x000D_
21.0_x000D_
VALUE_x000D_
4.8x</t>
  </si>
  <si>
    <t>Bagley</t>
  </si>
  <si>
    <t>Alec Burks_x000D_
PG/SG · $5800FPTS_x000D_
20.8_x000D_
VALUE_x000D_
3.6x</t>
  </si>
  <si>
    <t>Alec</t>
  </si>
  <si>
    <t>Burks</t>
  </si>
  <si>
    <t>P. Mills_x000D_
SG/PG · $5000FPTS_x000D_
20.7_x000D_
VALUE_x000D_
4.1x</t>
  </si>
  <si>
    <t>Mills</t>
  </si>
  <si>
    <t>R. O'Neale_x000D_
SF/PF · $5500FPTS_x000D_
20.6_x000D_
VALUE_x000D_
3.7x</t>
  </si>
  <si>
    <t>O'Neale</t>
  </si>
  <si>
    <t>T. Craig_x000D_
SG · $4500FPTS_x000D_
20.6_x000D_
VALUE_x000D_
4.6x</t>
  </si>
  <si>
    <t>L. Walker_x000D_
SG/SF · $4800FPTS_x000D_
20.3_x000D_
VALUE_x000D_
4.2x</t>
  </si>
  <si>
    <t>Walker</t>
  </si>
  <si>
    <t>M. Plumlee_x000D_
C · $4900FPTS_x000D_
20.3_x000D_
VALUE_x000D_
4.2x</t>
  </si>
  <si>
    <t>Plumlee</t>
  </si>
  <si>
    <t>Evan Fournier_x000D_
SF/SG · $5600FPTS_x000D_
20.2_x000D_
VALUE_x000D_
3.6x</t>
  </si>
  <si>
    <t>Fournier</t>
  </si>
  <si>
    <t>Eric Gordon_x000D_
SF/SG · $4600FPTS_x000D_
20.1_x000D_
VALUE_x000D_
4.4x</t>
  </si>
  <si>
    <t>A. Drummond_x000D_
C · $5600FPTS_x000D_
20.0_x000D_
VALUE_x000D_
3.6x</t>
  </si>
  <si>
    <t>Drummond</t>
  </si>
  <si>
    <t>Max Strus_x000D_
SG · $5900FPTS_x000D_
19.6_x000D_
VALUE_x000D_
3.3x</t>
  </si>
  <si>
    <t>Max</t>
  </si>
  <si>
    <t>Strus</t>
  </si>
  <si>
    <t>T. Horton-Tucker_x000D_
SG/SF · $4900FPTS_x000D_
19.5_x000D_
VALUE_x000D_
4.0x</t>
  </si>
  <si>
    <t>Horton-Tucker</t>
  </si>
  <si>
    <t>Josh Richardson_x000D_
SF/SG · $4600FPTS_x000D_
19.5_x000D_
VALUE_x000D_
4.3x</t>
  </si>
  <si>
    <t>Richardson</t>
  </si>
  <si>
    <t>KJ Martin_x000D_
SF/PF · $4400FPTS_x000D_
19.5_x000D_
VALUE_x000D_
4.4x</t>
  </si>
  <si>
    <t>KJ</t>
  </si>
  <si>
    <t>M. Thybulle_x000D_
SF · $4400FPTS_x000D_
19.4_x000D_
VALUE_x000D_
4.4x</t>
  </si>
  <si>
    <t>Thybulle</t>
  </si>
  <si>
    <t>D. Powell_x000D_
C/PF · $4300FPTS_x000D_
18.9_x000D_
VALUE_x000D_
4.4x</t>
  </si>
  <si>
    <t>Powell</t>
  </si>
  <si>
    <t>D. Theis_x000D_
PF/C · $4100FPTS_x000D_
18.9_x000D_
VALUE_x000D_
4.6x</t>
  </si>
  <si>
    <t>Theis</t>
  </si>
  <si>
    <t>Jock Landale Q_x000D_
C · $3700FPTS_x000D_
18.9_x000D_
VALUE_x000D_
5.1x</t>
  </si>
  <si>
    <t>Jock</t>
  </si>
  <si>
    <t>Landale Q</t>
  </si>
  <si>
    <t>Cam Thomas_x000D_
SG · $4800FPTS_x000D_
18.9_x000D_
VALUE_x000D_
3.9x</t>
  </si>
  <si>
    <t>Cam</t>
  </si>
  <si>
    <t>Raul Neto_x000D_
PG · $4000FPTS_x000D_
18.4_x000D_
VALUE_x000D_
4.6x</t>
  </si>
  <si>
    <t>A. Sengun Q_x000D_
C/PF · $4000FPTS_x000D_
18.3_x000D_
VALUE_x000D_
4.6x</t>
  </si>
  <si>
    <t>Sengun Q</t>
  </si>
  <si>
    <t>C. Kispert_x000D_
SF · $3500FPTS_x000D_
18.2_x000D_
VALUE_x000D_
5.2x</t>
  </si>
  <si>
    <t>G. Mathews_x000D_
SF · $4200FPTS_x000D_
18.2_x000D_
VALUE_x000D_
4.3x</t>
  </si>
  <si>
    <t>Mathews</t>
  </si>
  <si>
    <t>D. Jones_x000D_
SF/PF · $3600FPTS_x000D_
17.8_x000D_
VALUE_x000D_
4.9x</t>
  </si>
  <si>
    <t>D. Mitchell_x000D_
PG · $4200FPTS_x000D_
17.7_x000D_
VALUE_x000D_
4.2x</t>
  </si>
  <si>
    <t>C. Duarte Q_x000D_
SF · $4900FPTS_x000D_
17.7_x000D_
VALUE_x000D_
3.6x</t>
  </si>
  <si>
    <t>Duarte Q</t>
  </si>
  <si>
    <t>I. Quickley_x000D_
SG/PG · $5000FPTS_x000D_
17.7_x000D_
VALUE_x000D_
3.5x</t>
  </si>
  <si>
    <t>Quickley</t>
  </si>
  <si>
    <t>Joe Ingles Q_x000D_
SG/SF · $4000FPTS_x000D_
17.2_x000D_
VALUE_x000D_
4.3x</t>
  </si>
  <si>
    <t>Joe</t>
  </si>
  <si>
    <t>Ingles Q</t>
  </si>
  <si>
    <t>D. Gallinari_x000D_
SF/PF · $4700FPTS_x000D_
17.2_x000D_
VALUE_x000D_
3.7x</t>
  </si>
  <si>
    <t>Gallinari</t>
  </si>
  <si>
    <t>Josh Christopher_x000D_
SG · $4000FPTS_x000D_
17.1_x000D_
VALUE_x000D_
4.3x</t>
  </si>
  <si>
    <t>Christopher</t>
  </si>
  <si>
    <t>R. Rondo Q_x000D_
PG · $4800FPTS_x000D_
17.0_x000D_
VALUE_x000D_
3.5x</t>
  </si>
  <si>
    <t>Rondo Q</t>
  </si>
  <si>
    <t>K. Bates-Diop_x000D_
SF · $3900FPTS_x000D_
16.9_x000D_
VALUE_x000D_
4.3x</t>
  </si>
  <si>
    <t>Bates-Diop</t>
  </si>
  <si>
    <t>Josh Green_x000D_
SG · $4600FPTS_x000D_
16.8_x000D_
VALUE_x000D_
3.6x</t>
  </si>
  <si>
    <t>J. Holiday_x000D_
SF/SG · $4400FPTS_x000D_
16.7_x000D_
VALUE_x000D_
3.8x</t>
  </si>
  <si>
    <t>K. Edwards_x000D_
SF · $3500FPTS_x000D_
16.3_x000D_
VALUE_x000D_
4.7x</t>
  </si>
  <si>
    <t>D. Green_x000D_
SG/SF · $4300FPTS_x000D_
16.2_x000D_
VALUE_x000D_
3.8x</t>
  </si>
  <si>
    <t>Ayo Dosunmu_x000D_
SG · $3800FPTS_x000D_
16.2_x000D_
VALUE_x000D_
4.3x</t>
  </si>
  <si>
    <t>L. Stevens_x000D_
PF · $3700FPTS_x000D_
16.2_x000D_
VALUE_x000D_
4.4x</t>
  </si>
  <si>
    <t>Stevens</t>
  </si>
  <si>
    <t>R.J. Hampton_x000D_
PG/SG · $4100FPTS_x000D_
16.0_x000D_
VALUE_x000D_
3.9x</t>
  </si>
  <si>
    <t>R.J.</t>
  </si>
  <si>
    <t>Hampton</t>
  </si>
  <si>
    <t>D. Bembry_x000D_
SG/SF · $3900FPTS_x000D_
15.7_x000D_
VALUE_x000D_
4.0x</t>
  </si>
  <si>
    <t>Bembry</t>
  </si>
  <si>
    <t>J. McDaniels_x000D_
PF · $4300FPTS_x000D_
15.4_x000D_
VALUE_x000D_
3.6x</t>
  </si>
  <si>
    <t>D. Sharpe_x000D_
PF · $4500FPTS_x000D_
15.4_x000D_
VALUE_x000D_
3.4x</t>
  </si>
  <si>
    <t>Sharpe</t>
  </si>
  <si>
    <t>D. Howard_x000D_
C · $4000FPTS_x000D_
15.4_x000D_
VALUE_x000D_
3.8x</t>
  </si>
  <si>
    <t>Howard</t>
  </si>
  <si>
    <t>Q. Grimes_x000D_
SG · $3800FPTS_x000D_
15.2_x000D_
VALUE_x000D_
4.0x</t>
  </si>
  <si>
    <t>Q.</t>
  </si>
  <si>
    <t>Grimes</t>
  </si>
  <si>
    <t>T. Luwawu-Cabarrot_x000D_
SF/SG · $4200FPTS_x000D_
15.1_x000D_
VALUE_x000D_
3.6x</t>
  </si>
  <si>
    <t>Luwawu-Cabarrot</t>
  </si>
  <si>
    <t>Nerlens Noel Q_x000D_
C · $4300FPTS_x000D_
15.0_x000D_
VALUE_x000D_
3.5x</t>
  </si>
  <si>
    <t>Nerlens</t>
  </si>
  <si>
    <t>Noel Q</t>
  </si>
  <si>
    <t>Kyle Guy_x000D_
SG · $4400FPTS_x000D_
15.0_x000D_
VALUE_x000D_
3.4x</t>
  </si>
  <si>
    <t>Guy</t>
  </si>
  <si>
    <t>A. Bradley_x000D_
SG · $4300FPTS_x000D_
14.9_x000D_
VALUE_x000D_
3.5x</t>
  </si>
  <si>
    <t>Enes Freedom_x000D_
C · $3700FPTS_x000D_
14.8_x000D_
VALUE_x000D_
4.0x</t>
  </si>
  <si>
    <t>Enes</t>
  </si>
  <si>
    <t>Freedom</t>
  </si>
  <si>
    <t>D. Nwaba_x000D_
SF/SG · $4100FPTS_x000D_
14.7_x000D_
VALUE_x000D_
3.6x</t>
  </si>
  <si>
    <t>Nwaba</t>
  </si>
  <si>
    <t>L. Stephenson_x000D_
SF · $6400FPTS_x000D_
14.7_x000D_
VALUE_x000D_
2.3x</t>
  </si>
  <si>
    <t>Stephenson</t>
  </si>
  <si>
    <t>$6.4k</t>
  </si>
  <si>
    <t>G. Williams_x000D_
PF · $3500FPTS_x000D_
14.6_x000D_
VALUE_x000D_
4.2x</t>
  </si>
  <si>
    <t>Deni Avdija_x000D_
SF/PF · $3900FPTS_x000D_
14.5_x000D_
VALUE_x000D_
3.7x</t>
  </si>
  <si>
    <t>Taj Gibson Q_x000D_
C · $3800FPTS_x000D_
14.5_x000D_
VALUE_x000D_
3.8x</t>
  </si>
  <si>
    <t>Taj</t>
  </si>
  <si>
    <t>Gibson Q</t>
  </si>
  <si>
    <t>Isaiah Joe_x000D_
PG · $3800FPTS_x000D_
14.5_x000D_
VALUE_x000D_
3.8x</t>
  </si>
  <si>
    <t>G. Niang_x000D_
PF/SF · $3700FPTS_x000D_
14.4_x000D_
VALUE_x000D_
3.9x</t>
  </si>
  <si>
    <t>Niang</t>
  </si>
  <si>
    <t>W. Ellington_x000D_
SG · $3500FPTS_x000D_
14.4_x000D_
VALUE_x000D_
4.1x</t>
  </si>
  <si>
    <t>W.</t>
  </si>
  <si>
    <t>Ellington</t>
  </si>
  <si>
    <t>Kent Bazemore_x000D_
SF/SG · $3600FPTS_x000D_
14.1_x000D_
VALUE_x000D_
3.9x</t>
  </si>
  <si>
    <t>Kent</t>
  </si>
  <si>
    <t>Bazemore</t>
  </si>
  <si>
    <t>S. Johnson_x000D_
SF · $3700FPTS_x000D_
14.1_x000D_
VALUE_x000D_
3.8x</t>
  </si>
  <si>
    <t>Johnson</t>
  </si>
  <si>
    <t>F. Korkmaz_x000D_
SG/SF · $5200FPTS_x000D_
14.1_x000D_
VALUE_x000D_
2.7x</t>
  </si>
  <si>
    <t>Korkmaz</t>
  </si>
  <si>
    <t>T. Thompson Q_x000D_
C/PF · $3700FPTS_x000D_
14.1_x000D_
VALUE_x000D_
3.8x</t>
  </si>
  <si>
    <t>Thompson Q</t>
  </si>
  <si>
    <t>C. Silva_x000D_
PF · $3700FPTS_x000D_
13.9_x000D_
VALUE_x000D_
3.8x</t>
  </si>
  <si>
    <t>Silva</t>
  </si>
  <si>
    <t>A. Henry_x000D_
SF · $3500FPTS_x000D_
13.8_x000D_
VALUE_x000D_
3.9x</t>
  </si>
  <si>
    <t>Henry</t>
  </si>
  <si>
    <t>Bryn Forbes_x000D_
SG · $4400FPTS_x000D_
13.7_x000D_
VALUE_x000D_
3.1x</t>
  </si>
  <si>
    <t>Bryn</t>
  </si>
  <si>
    <t>Forbes</t>
  </si>
  <si>
    <t>T. Davis_x000D_
SG/SF · $3500FPTS_x000D_
13.5_x000D_
VALUE_x000D_
3.9x</t>
  </si>
  <si>
    <t>Davis</t>
  </si>
  <si>
    <t>N. Pelle Q_x000D_
PF · $3500FPTS_x000D_
13.5_x000D_
VALUE_x000D_
3.9x</t>
  </si>
  <si>
    <t>Pelle Q</t>
  </si>
  <si>
    <t>D. Hunter Q_x000D_
SF · $4200FPTS_x000D_
13.5_x000D_
VALUE_x000D_
3.2x</t>
  </si>
  <si>
    <t>Hunter Q</t>
  </si>
  <si>
    <t>M. Chriss_x000D_
PF · $3500FPTS_x000D_
13.4_x000D_
VALUE_x000D_
3.8x</t>
  </si>
  <si>
    <t>Chriss</t>
  </si>
  <si>
    <t>Daishen Nix_x000D_
PG · $3500FPTS_x000D_
13.4_x000D_
VALUE_x000D_
3.8x</t>
  </si>
  <si>
    <t>Daishen</t>
  </si>
  <si>
    <t>Nix</t>
  </si>
  <si>
    <t>D. Dedmon Q_x000D_
C · $4400FPTS_x000D_
13.3_x000D_
VALUE_x000D_
3.0x</t>
  </si>
  <si>
    <t>Dedmon Q</t>
  </si>
  <si>
    <t>M. Brown_x000D_
C · $3500FPTS_x000D_
13.2_x000D_
VALUE_x000D_
3.8x</t>
  </si>
  <si>
    <t>Gabe Vincent_x000D_
PG · $5700FPTS_x000D_
13.0_x000D_
VALUE_x000D_
2.3x</t>
  </si>
  <si>
    <t>Gabe</t>
  </si>
  <si>
    <t>Vincent</t>
  </si>
  <si>
    <t>O. Brissett_x000D_
SF · $4200FPTS_x000D_
13.0_x000D_
VALUE_x000D_
3.1x</t>
  </si>
  <si>
    <t>Brissett</t>
  </si>
  <si>
    <t>D. House_x000D_
SF · $3600FPTS_x000D_
13.0_x000D_
VALUE_x000D_
3.6x</t>
  </si>
  <si>
    <t>House</t>
  </si>
  <si>
    <t>Rui Hachimura_x000D_
SF/PF · $5200FPTS_x000D_
12.8_x000D_
VALUE_x000D_
2.5x</t>
  </si>
  <si>
    <t>Joe Wieskamp_x000D_
SF · $3500FPTS_x000D_
12.8_x000D_
VALUE_x000D_
3.6x</t>
  </si>
  <si>
    <t>Wieskamp</t>
  </si>
  <si>
    <t>R. Bullock_x000D_
SG · $4800FPTS_x000D_
12.6_x000D_
VALUE_x000D_
2.6x</t>
  </si>
  <si>
    <t>Bullock</t>
  </si>
  <si>
    <t>D. Wright_x000D_
PG/SG · $4800FPTS_x000D_
12.6_x000D_
VALUE_x000D_
2.6x</t>
  </si>
  <si>
    <t>Wright</t>
  </si>
  <si>
    <t>Matt Thomas_x000D_
SG · $3500FPTS_x000D_
12.2_x000D_
VALUE_x000D_
3.5x</t>
  </si>
  <si>
    <t>P. Pritchard_x000D_
PG/SG · $4700FPTS_x000D_
12.2_x000D_
VALUE_x000D_
2.6x</t>
  </si>
  <si>
    <t>Pritchard</t>
  </si>
  <si>
    <t>David Duke_x000D_
SG · $3700FPTS_x000D_
12.1_x000D_
VALUE_x000D_
3.3x</t>
  </si>
  <si>
    <t>David</t>
  </si>
  <si>
    <t>Duke</t>
  </si>
  <si>
    <t>T. Bryant Q_x000D_
C/PF · $3800FPTS_x000D_
12.1_x000D_
VALUE_x000D_
3.2x</t>
  </si>
  <si>
    <t>Bryant Q</t>
  </si>
  <si>
    <t>A. Reaves_x000D_
SG · $3500FPTS_x000D_
12.0_x000D_
VALUE_x000D_
3.4x</t>
  </si>
  <si>
    <t>Reaves</t>
  </si>
  <si>
    <t>Troy Brown_x000D_
SG · $4500FPTS_x000D_
11.7_x000D_
VALUE_x000D_
2.6x</t>
  </si>
  <si>
    <t>Jeremy Lamb_x000D_
SG/SF · $3600FPTS_x000D_
11.7_x000D_
VALUE_x000D_
3.3x</t>
  </si>
  <si>
    <t>Jeremy</t>
  </si>
  <si>
    <t>Lamb</t>
  </si>
  <si>
    <t>Obi Toppin_x000D_
PF · $3700FPTS_x000D_
11.3_x000D_
VALUE_x000D_
3.0x</t>
  </si>
  <si>
    <t>Obi</t>
  </si>
  <si>
    <t>Toppin</t>
  </si>
  <si>
    <t>F. Ntilikina_x000D_
PG · $3500FPTS_x000D_
11.0_x000D_
VALUE_x000D_
3.1x</t>
  </si>
  <si>
    <t>Ntilikina</t>
  </si>
  <si>
    <t>T. Johnson_x000D_
PG · $3500FPTS_x000D_
10.7_x000D_
VALUE_x000D_
3.0x</t>
  </si>
  <si>
    <t>Tony Bradley_x000D_
PF/C · $3600FPTS_x000D_
10.4_x000D_
VALUE_x000D_
2.9x</t>
  </si>
  <si>
    <t>T. Ariza_x000D_
PF · $3500FPTS_x000D_
9.9_x000D_
VALUE_x000D_
2.8x</t>
  </si>
  <si>
    <t>Ariza</t>
  </si>
  <si>
    <t>B. Griffin_x000D_
PF/C · $3500FPTS_x000D_
9.6_x000D_
VALUE_x000D_
2.7x</t>
  </si>
  <si>
    <t>Griffin</t>
  </si>
  <si>
    <t>Eric Paschall_x000D_
C/PF · $4200FPTS_x000D_
9.2_x000D_
VALUE_x000D_
2.2x</t>
  </si>
  <si>
    <t>Paschall</t>
  </si>
  <si>
    <t>S. Brown_x000D_
SG · $3500FPTS_x000D_
8.8_x000D_
VALUE_x000D_
2.5x</t>
  </si>
  <si>
    <t>J. Primo_x000D_
SG · $3800FPTS_x000D_
8.5_x000D_
VALUE_x000D_
2.2x</t>
  </si>
  <si>
    <t>Primo</t>
  </si>
  <si>
    <t>Drew Eubanks_x000D_
C/PF · $3800FPTS_x000D_
8.2_x000D_
VALUE_x000D_
2.2x</t>
  </si>
  <si>
    <t>Drew</t>
  </si>
  <si>
    <t>Eubanks</t>
  </si>
  <si>
    <t>D.J. Augustin_x000D_
PG/SG · $3500FPTS_x000D_
7.8_x000D_
VALUE_x000D_
2.2x</t>
  </si>
  <si>
    <t>D.J.</t>
  </si>
  <si>
    <t>Augustin</t>
  </si>
  <si>
    <t>A. Brooks_x000D_
SG · $3800FPTS_x000D_
7.6_x000D_
VALUE_x000D_
2.0x</t>
  </si>
  <si>
    <t>Brooks</t>
  </si>
  <si>
    <t>J. Johnson_x000D_
SF/PF · $3700FPTS_x000D_
7.6_x000D_
VALUE_x000D_
2.0x</t>
  </si>
  <si>
    <t>D. Bertans_x000D_
SF · $3800FPTS_x000D_
7.5_x000D_
VALUE_x000D_
2.0x</t>
  </si>
  <si>
    <t>D. Windler_x000D_
SG · $3600FPTS_x000D_
7.1_x000D_
VALUE_x000D_
2.0x</t>
  </si>
  <si>
    <t>Windler</t>
  </si>
  <si>
    <t>N. Queta_x000D_
C · $3500FPTS_x000D_
7.0_x000D_
VALUE_x000D_
2.0x</t>
  </si>
  <si>
    <t>Queta</t>
  </si>
  <si>
    <t>Dean Wade_x000D_
PF/SF · $3500FPTS_x000D_
6.9_x000D_
VALUE_x000D_
2.0x</t>
  </si>
  <si>
    <t>Dean</t>
  </si>
  <si>
    <t>Wade</t>
  </si>
  <si>
    <t>M. Morris O_x000D_
PF/SF · $3800FPTS_x000D_
0.0_x000D_
VALUE_x000D_
0.0x</t>
  </si>
  <si>
    <t>Morris O</t>
  </si>
  <si>
    <t>J. Butler O_x000D_
SF/SG · $9200FPTS_x000D_
0.0_x000D_
VALUE_x000D_
0.0x</t>
  </si>
  <si>
    <t>Butler O</t>
  </si>
  <si>
    <t>$9.2k</t>
  </si>
  <si>
    <t>U. Azubuike O_x000D_
C · $3700FPTS_x000D_
0.0_x000D_
VALUE_x000D_
0.0x</t>
  </si>
  <si>
    <t>U.</t>
  </si>
  <si>
    <t>Azubuike O</t>
  </si>
  <si>
    <t>E. Hughes O_x000D_
SF · $4000FPTS_x000D_
0.0_x000D_
VALUE_x000D_
0.0x</t>
  </si>
  <si>
    <t>E.</t>
  </si>
  <si>
    <t>Hughes O</t>
  </si>
  <si>
    <t>Tre Jones O_x000D_
PG · $4100FPTS_x000D_
0.0_x000D_
VALUE_x000D_
0.0x</t>
  </si>
  <si>
    <t>Jones O</t>
  </si>
  <si>
    <t>John Wall O_x000D_
PG/SG · $3500FPTS_x000D_
0.0_x000D_
VALUE_x000D_
0.0x</t>
  </si>
  <si>
    <t>Wall O</t>
  </si>
  <si>
    <t>Ben Simmons O_x000D_
PG · $7400FPTS_x000D_
0.0_x000D_
VALUE_x000D_
0.0x</t>
  </si>
  <si>
    <t>Ben</t>
  </si>
  <si>
    <t>Simmons O</t>
  </si>
  <si>
    <t>E. Moore O_x000D_
PG/SG · $3500FPTS_x000D_
0.0_x000D_
VALUE_x000D_
0.0x</t>
  </si>
  <si>
    <t>Moore O</t>
  </si>
  <si>
    <t>Solomon Hill O_x000D_
SF/PF · $3500FPTS_x000D_
0.0_x000D_
VALUE_x000D_
0.0x</t>
  </si>
  <si>
    <t>Solomon</t>
  </si>
  <si>
    <t>Hill O</t>
  </si>
  <si>
    <t>V. Oladipo O_x000D_
SG · $4700FPTS_x000D_
0.0_x000D_
VALUE_x000D_
0.0x</t>
  </si>
  <si>
    <t>Oladipo O</t>
  </si>
  <si>
    <t>I. Okoro O_x000D_
SF/SG · $4100FPTS_x000D_
0.0_x000D_
VALUE_x000D_
0.0x</t>
  </si>
  <si>
    <t>Okoro O</t>
  </si>
  <si>
    <t>A. Davis O_x000D_
PF/C · $9000FPTS_x000D_
0.0_x000D_
VALUE_x000D_
0.0x</t>
  </si>
  <si>
    <t>Davis O</t>
  </si>
  <si>
    <t>$9.0k</t>
  </si>
  <si>
    <t>L. Aldridge O_x000D_
C/PF · $4300FPTS_x000D_
0.0_x000D_
VALUE_x000D_
0.0x</t>
  </si>
  <si>
    <t>Aldridge O</t>
  </si>
  <si>
    <t>M. Carter-Williams O_x000D_
PG/SG · $3700FPTS_x000D_
0.0_x000D_
VALUE_x000D_
0.0x</t>
  </si>
  <si>
    <t>Carter-Williams O</t>
  </si>
  <si>
    <t>KZ Okpala O_x000D_
SF · $3700FPTS_x000D_
0.0_x000D_
VALUE_x000D_
0.0x</t>
  </si>
  <si>
    <t>KZ</t>
  </si>
  <si>
    <t>Okpala O</t>
  </si>
  <si>
    <t>Kendrick Nunn O_x000D_
SG/PG · $4100FPTS_x000D_
0.0_x000D_
VALUE_x000D_
0.0x</t>
  </si>
  <si>
    <t>Kendrick</t>
  </si>
  <si>
    <t>Nunn O</t>
  </si>
  <si>
    <t>Joe Harris O_x000D_
SG/SF · $3600FPTS_x000D_
0.0_x000D_
VALUE_x000D_
0.0x</t>
  </si>
  <si>
    <t>Harris O</t>
  </si>
  <si>
    <t>Rudy Gay O_x000D_
PF/SF · $5300FPTS_x000D_
0.0_x000D_
VALUE_x000D_
0.0x</t>
  </si>
  <si>
    <t>Rudy</t>
  </si>
  <si>
    <t>Gay O</t>
  </si>
  <si>
    <t>M. Fitts O_x000D_
PF · $3600FPTS_x000D_
0.0_x000D_
VALUE_x000D_
0.0x</t>
  </si>
  <si>
    <t>Fitts O</t>
  </si>
  <si>
    <t>J. Butler O_x000D_
SG · $3800FPTS_x000D_
0.0_x000D_
VALUE_x000D_
0.0x</t>
  </si>
  <si>
    <t>Doug McDermott O_x000D_
PF/SF · $3600FPTS_x000D_
0.0_x000D_
VALUE_x000D_
0.0x</t>
  </si>
  <si>
    <t>Doug</t>
  </si>
  <si>
    <t>McDermott O</t>
  </si>
  <si>
    <t>T.J. McConnell O_x000D_
PG/SG · $5100FPTS_x000D_
0.0_x000D_
VALUE_x000D_
0.0x</t>
  </si>
  <si>
    <t>T.J.</t>
  </si>
  <si>
    <t>McConnell O</t>
  </si>
  <si>
    <t>T.J. Warren O_x000D_
SF/PF · $4500FPTS_x000D_
0.0_x000D_
VALUE_x000D_
0.0x</t>
  </si>
  <si>
    <t>Warren O</t>
  </si>
  <si>
    <t>S. Milton O_x000D_
PG/SG · $3900FPTS_x000D_
0.0_x000D_
VALUE_x000D_
0.0x</t>
  </si>
  <si>
    <t>Milton O</t>
  </si>
  <si>
    <t>R. Holmes O_x000D_
C/PF · $5600FPTS_x000D_
0.0_x000D_
VALUE_x000D_
0.0x</t>
  </si>
  <si>
    <t>Holmes O</t>
  </si>
  <si>
    <t>W. Carter O_x000D_
PF/C · $7000FPTS_x000D_
0.0_x000D_
VALUE_x000D_
0.0x</t>
  </si>
  <si>
    <t>Carter O</t>
  </si>
  <si>
    <t>Mo Bamba O_x000D_
C · $5800FPTS_x000D_
0.0_x000D_
VALUE_x000D_
0.0x</t>
  </si>
  <si>
    <t>Mo</t>
  </si>
  <si>
    <t>Bamba O</t>
  </si>
  <si>
    <t>J. Johnson O_x000D_
SF · $3500FPTS_x000D_
0.0_x000D_
VALUE_x000D_
0.0x</t>
  </si>
  <si>
    <t>M. Smart O_x000D_
SG/PG · $6700FPTS_x000D_
0.0_x000D_
VALUE_x000D_
0.0x</t>
  </si>
  <si>
    <t>Smart O</t>
  </si>
  <si>
    <t>Ryan Arcidiacono O_x000D_
PG/SG · $3500FPTS_x000D_
0.0_x000D_
VALUE_x000D_
0.0x</t>
  </si>
  <si>
    <t>Ryan</t>
  </si>
  <si>
    <t>Arcidiacono O</t>
  </si>
  <si>
    <t>C. Sexton O_x000D_
SG · $3500FPTS_x000D_
0.0_x000D_
VALUE_x000D_
0.0x</t>
  </si>
  <si>
    <t>Sexton O</t>
  </si>
  <si>
    <t>W. Cauley-Stein O_x000D_
C/PF · $3500FPTS_x000D_
0.0_x000D_
VALUE_x000D_
0.0x</t>
  </si>
  <si>
    <t>Cauley-Stein O</t>
  </si>
  <si>
    <t>Bam Adebayo O_x000D_
C/PF · $7700FPTS_x000D_
0.0_x000D_
VALUE_x000D_
0.0x</t>
  </si>
  <si>
    <t>Bam</t>
  </si>
  <si>
    <t>Adebayo O</t>
  </si>
  <si>
    <t>J. Suggs O_x000D_
PG/SG · $5600FPTS_x000D_
0.0_x000D_
VALUE_x000D_
0.0x</t>
  </si>
  <si>
    <t>Suggs O</t>
  </si>
  <si>
    <t>Derrick Rose O_x000D_
PG/SG · $4700FPTS_x000D_
0.0_x000D_
VALUE_x000D_
0.0x</t>
  </si>
  <si>
    <t>Rose O</t>
  </si>
  <si>
    <t>Zach Collins O_x000D_
PF · $3500FPTS_x000D_
0.0_x000D_
VALUE_x000D_
0.0x</t>
  </si>
  <si>
    <t>Collins O</t>
  </si>
  <si>
    <t>Rudy Gobert O_x000D_
C · $8800FPTS_x000D_
0.0_x000D_
VALUE_x000D_
0.0x</t>
  </si>
  <si>
    <t>Gobert O</t>
  </si>
  <si>
    <t>J. Isaac O_x000D_
SF/PF · $4300FPTS_x000D_
0.0_x000D_
VALUE_x000D_
0.0x</t>
  </si>
  <si>
    <t>Isaac O</t>
  </si>
  <si>
    <t>D. Jones O_x000D_
C · $3800FPTS_x000D_
0.0_x000D_
VALUE_x000D_
0.0x</t>
  </si>
  <si>
    <t>M. Fultz O_x000D_
PG/SG · $3500FPTS_x000D_
0.0_x000D_
VALUE_x000D_
0.0x</t>
  </si>
  <si>
    <t>Fultz O</t>
  </si>
  <si>
    <t>K. Oubre Jr. O_x000D_
SF/SG · $5600FPTS_x000D_
0.0_x000D_
VALUE_x000D_
0.0x</t>
  </si>
  <si>
    <t>Oubre Jr. O</t>
  </si>
  <si>
    <t>M. Garrett O_x000D_
SG · $3500FPTS_x000D_
0.0_x000D_
VALUE_x000D_
0.0x</t>
  </si>
  <si>
    <t>Garrett O</t>
  </si>
  <si>
    <t>R. Rubio O_x000D_
PG · $3500FPTS_x000D_
0.0_x000D_
VALUE_x000D_
0.0x</t>
  </si>
  <si>
    <t>Rubio O</t>
  </si>
  <si>
    <t>Luka Samanic O_x000D_
PF · $3500FPTS_x000D_
0.0_x000D_
VALUE_x000D_
0.0x</t>
  </si>
  <si>
    <t>Samanic O</t>
  </si>
  <si>
    <t>K. Porzingis O_x000D_
PF/C · $9600FPTS_x000D_
0.0_x000D_
VALUE_x000D_
0.0x</t>
  </si>
  <si>
    <t>Porzingis O</t>
  </si>
  <si>
    <t>$9.6k</t>
  </si>
  <si>
    <t>Aaron</t>
  </si>
  <si>
    <t>Nesmith</t>
  </si>
  <si>
    <t>11.60</t>
  </si>
  <si>
    <t>Ade</t>
  </si>
  <si>
    <t>Murkey</t>
  </si>
  <si>
    <t>Ahmad</t>
  </si>
  <si>
    <t>Caver</t>
  </si>
  <si>
    <t>27</t>
  </si>
  <si>
    <t>29.67</t>
  </si>
  <si>
    <t>24.00</t>
  </si>
  <si>
    <t>Al-Farouq</t>
  </si>
  <si>
    <t>Aminu</t>
  </si>
  <si>
    <t>18.40</t>
  </si>
  <si>
    <t>12.67</t>
  </si>
  <si>
    <t>31.47</t>
  </si>
  <si>
    <t>Caruso</t>
  </si>
  <si>
    <t>28.00</t>
  </si>
  <si>
    <t>23.33</t>
  </si>
  <si>
    <t>23</t>
  </si>
  <si>
    <t>17.20</t>
  </si>
  <si>
    <t>24.33</t>
  </si>
  <si>
    <t>Alfonzo</t>
  </si>
  <si>
    <t>McKinnie</t>
  </si>
  <si>
    <t>5.00</t>
  </si>
  <si>
    <t>Alize</t>
  </si>
  <si>
    <t>6.93</t>
  </si>
  <si>
    <t>Alperen</t>
  </si>
  <si>
    <t>Sengün</t>
  </si>
  <si>
    <t>18.47</t>
  </si>
  <si>
    <t>14.00</t>
  </si>
  <si>
    <t>Andre</t>
  </si>
  <si>
    <t>14.53</t>
  </si>
  <si>
    <t>16.00</t>
  </si>
  <si>
    <t>Gill</t>
  </si>
  <si>
    <t>6.60</t>
  </si>
  <si>
    <t>14.33</t>
  </si>
  <si>
    <t>19.40</t>
  </si>
  <si>
    <t>Aric</t>
  </si>
  <si>
    <t>Holman</t>
  </si>
  <si>
    <t>0.67</t>
  </si>
  <si>
    <t>Armoni</t>
  </si>
  <si>
    <t>24.47</t>
  </si>
  <si>
    <t>19.33</t>
  </si>
  <si>
    <t>Arnoldas</t>
  </si>
  <si>
    <t>Kulboka</t>
  </si>
  <si>
    <t>22.40</t>
  </si>
  <si>
    <t>Simmons</t>
  </si>
  <si>
    <t>32.33</t>
  </si>
  <si>
    <t>32.67</t>
  </si>
  <si>
    <t>Blake</t>
  </si>
  <si>
    <t>15.20</t>
  </si>
  <si>
    <t>8.00</t>
  </si>
  <si>
    <t>Bojan</t>
  </si>
  <si>
    <t>32</t>
  </si>
  <si>
    <t>30.80</t>
  </si>
  <si>
    <t>37.00</t>
  </si>
  <si>
    <t>Beal</t>
  </si>
  <si>
    <t>35.40</t>
  </si>
  <si>
    <t>Brandon</t>
  </si>
  <si>
    <t>Goodwin</t>
  </si>
  <si>
    <t>18.27</t>
  </si>
  <si>
    <t>Braxton</t>
  </si>
  <si>
    <t>Key</t>
  </si>
  <si>
    <t>1.67</t>
  </si>
  <si>
    <t>Brodric</t>
  </si>
  <si>
    <t>15.67</t>
  </si>
  <si>
    <t>Bruce</t>
  </si>
  <si>
    <t>18.00</t>
  </si>
  <si>
    <t>Bruno</t>
  </si>
  <si>
    <t>Fernando</t>
  </si>
  <si>
    <t>3.20</t>
  </si>
  <si>
    <t>19.20</t>
  </si>
  <si>
    <t>Buddy</t>
  </si>
  <si>
    <t>30.40</t>
  </si>
  <si>
    <t>27.67</t>
  </si>
  <si>
    <t>C.J.</t>
  </si>
  <si>
    <t>Miles</t>
  </si>
  <si>
    <t>16.53</t>
  </si>
  <si>
    <t>9.00</t>
  </si>
  <si>
    <t>Caris</t>
  </si>
  <si>
    <t>LeVert</t>
  </si>
  <si>
    <t>31</t>
  </si>
  <si>
    <t>33.73</t>
  </si>
  <si>
    <t>38.33</t>
  </si>
  <si>
    <t>Winston</t>
  </si>
  <si>
    <t>3.73</t>
  </si>
  <si>
    <t>3.33</t>
  </si>
  <si>
    <t>29</t>
  </si>
  <si>
    <t>23.27</t>
  </si>
  <si>
    <t>26.33</t>
  </si>
  <si>
    <t>Charles</t>
  </si>
  <si>
    <t>Bassey</t>
  </si>
  <si>
    <t>8.60</t>
  </si>
  <si>
    <t>2.33</t>
  </si>
  <si>
    <t>Charlie</t>
  </si>
  <si>
    <t>Brown Jr.</t>
  </si>
  <si>
    <t>12.93</t>
  </si>
  <si>
    <t>11.67</t>
  </si>
  <si>
    <t>22</t>
  </si>
  <si>
    <t>Duarte</t>
  </si>
  <si>
    <t>27.07</t>
  </si>
  <si>
    <t>30</t>
  </si>
  <si>
    <t>28.80</t>
  </si>
  <si>
    <t>29.00</t>
  </si>
  <si>
    <t>27.33</t>
  </si>
  <si>
    <t>28.73</t>
  </si>
  <si>
    <t>Collin</t>
  </si>
  <si>
    <t>Sexton</t>
  </si>
  <si>
    <t>25.00</t>
  </si>
  <si>
    <t>Corey</t>
  </si>
  <si>
    <t>23.93</t>
  </si>
  <si>
    <t>21.00</t>
  </si>
  <si>
    <t>17.00</t>
  </si>
  <si>
    <t>6.67</t>
  </si>
  <si>
    <t>Damian</t>
  </si>
  <si>
    <t>17.53</t>
  </si>
  <si>
    <t>Damyean</t>
  </si>
  <si>
    <t>Dotson</t>
  </si>
  <si>
    <t>19.93</t>
  </si>
  <si>
    <t>Daniel</t>
  </si>
  <si>
    <t>19</t>
  </si>
  <si>
    <t>25.27</t>
  </si>
  <si>
    <t>25.67</t>
  </si>
  <si>
    <t>22.87</t>
  </si>
  <si>
    <t>Danny</t>
  </si>
  <si>
    <t>24.53</t>
  </si>
  <si>
    <t>18.67</t>
  </si>
  <si>
    <t>Danuel</t>
  </si>
  <si>
    <t>House Jr.</t>
  </si>
  <si>
    <t>17.33</t>
  </si>
  <si>
    <t>Darius</t>
  </si>
  <si>
    <t>35</t>
  </si>
  <si>
    <t>33.47</t>
  </si>
  <si>
    <t>34.33</t>
  </si>
  <si>
    <t>Duke Jr.</t>
  </si>
  <si>
    <t>17.07</t>
  </si>
  <si>
    <t>Davion</t>
  </si>
  <si>
    <t>21</t>
  </si>
  <si>
    <t>23.47</t>
  </si>
  <si>
    <t>14.73</t>
  </si>
  <si>
    <t>10.33</t>
  </si>
  <si>
    <t>Day'Ron</t>
  </si>
  <si>
    <t>13</t>
  </si>
  <si>
    <t>7.53</t>
  </si>
  <si>
    <t>32.73</t>
  </si>
  <si>
    <t>17.13</t>
  </si>
  <si>
    <t>DeAndre'</t>
  </si>
  <si>
    <t>17</t>
  </si>
  <si>
    <t>DeJon</t>
  </si>
  <si>
    <t>Jarreau</t>
  </si>
  <si>
    <t>7.00</t>
  </si>
  <si>
    <t>Dejounte</t>
  </si>
  <si>
    <t>34</t>
  </si>
  <si>
    <t>33.07</t>
  </si>
  <si>
    <t>DeMar</t>
  </si>
  <si>
    <t>34.47</t>
  </si>
  <si>
    <t>25.53</t>
  </si>
  <si>
    <t>Dennis</t>
  </si>
  <si>
    <t>29.20</t>
  </si>
  <si>
    <t>Denzel</t>
  </si>
  <si>
    <t>Valentine</t>
  </si>
  <si>
    <t>11.93</t>
  </si>
  <si>
    <t>Jones Jr.</t>
  </si>
  <si>
    <t>16</t>
  </si>
  <si>
    <t>Rose</t>
  </si>
  <si>
    <t>25.40</t>
  </si>
  <si>
    <t>Devin</t>
  </si>
  <si>
    <t>Vassell</t>
  </si>
  <si>
    <t>23.73</t>
  </si>
  <si>
    <t>Devontae</t>
  </si>
  <si>
    <t>6.20</t>
  </si>
  <si>
    <t>Domantas</t>
  </si>
  <si>
    <t>35.80</t>
  </si>
  <si>
    <t>39.33</t>
  </si>
  <si>
    <t>McDermott</t>
  </si>
  <si>
    <t>21.33</t>
  </si>
  <si>
    <t>9.60</t>
  </si>
  <si>
    <t>Duane</t>
  </si>
  <si>
    <t>Washington Jr.</t>
  </si>
  <si>
    <t>16.07</t>
  </si>
  <si>
    <t>30.67</t>
  </si>
  <si>
    <t>Dylan</t>
  </si>
  <si>
    <t>14</t>
  </si>
  <si>
    <t>9.07</t>
  </si>
  <si>
    <t>Ed</t>
  </si>
  <si>
    <t>11.33</t>
  </si>
  <si>
    <t>Elijah</t>
  </si>
  <si>
    <t>Hughes</t>
  </si>
  <si>
    <t>11.20</t>
  </si>
  <si>
    <t>26.00</t>
  </si>
  <si>
    <t>Emmanuel</t>
  </si>
  <si>
    <t>Mudiay</t>
  </si>
  <si>
    <t>6.33</t>
  </si>
  <si>
    <t>13.20</t>
  </si>
  <si>
    <t>18</t>
  </si>
  <si>
    <t>8.47</t>
  </si>
  <si>
    <t>19.00</t>
  </si>
  <si>
    <t>Ersan</t>
  </si>
  <si>
    <t>Ilyasova</t>
  </si>
  <si>
    <t>4.33</t>
  </si>
  <si>
    <t>28.60</t>
  </si>
  <si>
    <t>33.87</t>
  </si>
  <si>
    <t>36.67</t>
  </si>
  <si>
    <t>Furkan</t>
  </si>
  <si>
    <t>20.73</t>
  </si>
  <si>
    <t>Garrison</t>
  </si>
  <si>
    <t>29.27</t>
  </si>
  <si>
    <t>Georges</t>
  </si>
  <si>
    <t>Goga</t>
  </si>
  <si>
    <t>Bitadze</t>
  </si>
  <si>
    <t>7.47</t>
  </si>
  <si>
    <t>31.73</t>
  </si>
  <si>
    <t>31.00</t>
  </si>
  <si>
    <t>Harrison</t>
  </si>
  <si>
    <t>32.60</t>
  </si>
  <si>
    <t>Hassan</t>
  </si>
  <si>
    <t>29.33</t>
  </si>
  <si>
    <t>Immanuel</t>
  </si>
  <si>
    <t>25.33</t>
  </si>
  <si>
    <t>28.67</t>
  </si>
  <si>
    <t>Isaac</t>
  </si>
  <si>
    <t>Okoro</t>
  </si>
  <si>
    <t>26.47</t>
  </si>
  <si>
    <t>13.73</t>
  </si>
  <si>
    <t>Todd</t>
  </si>
  <si>
    <t>Jaden</t>
  </si>
  <si>
    <t>Springer</t>
  </si>
  <si>
    <t>25.07</t>
  </si>
  <si>
    <t>Jahmi'us</t>
  </si>
  <si>
    <t>Ramsey</t>
  </si>
  <si>
    <t>6.07</t>
  </si>
  <si>
    <t>Jaime</t>
  </si>
  <si>
    <t>Echenique</t>
  </si>
  <si>
    <t>Jakob</t>
  </si>
  <si>
    <t>Jalen</t>
  </si>
  <si>
    <t>22.93</t>
  </si>
  <si>
    <t>James</t>
  </si>
  <si>
    <t>Bouknight</t>
  </si>
  <si>
    <t>Harden</t>
  </si>
  <si>
    <t>38.60</t>
  </si>
  <si>
    <t>Jared</t>
  </si>
  <si>
    <t>Butler</t>
  </si>
  <si>
    <t>13.33</t>
  </si>
  <si>
    <t>Jarrett</t>
  </si>
  <si>
    <t>Jayson</t>
  </si>
  <si>
    <t>36.33</t>
  </si>
  <si>
    <t>Jericho</t>
  </si>
  <si>
    <t>Sims</t>
  </si>
  <si>
    <t>8.80</t>
  </si>
  <si>
    <t>Jevon</t>
  </si>
  <si>
    <t>Carter</t>
  </si>
  <si>
    <t>7.73</t>
  </si>
  <si>
    <t>Landale</t>
  </si>
  <si>
    <t>11.80</t>
  </si>
  <si>
    <t>Ingles</t>
  </si>
  <si>
    <t>5.73</t>
  </si>
  <si>
    <t>Ayayi</t>
  </si>
  <si>
    <t>4.07</t>
  </si>
  <si>
    <t>32.93</t>
  </si>
  <si>
    <t>Wall</t>
  </si>
  <si>
    <t>Bell</t>
  </si>
  <si>
    <t>9.67</t>
  </si>
  <si>
    <t>22.80</t>
  </si>
  <si>
    <t>23.00</t>
  </si>
  <si>
    <t>26.87</t>
  </si>
  <si>
    <t>Joshua</t>
  </si>
  <si>
    <t>30.33</t>
  </si>
  <si>
    <t>Julius</t>
  </si>
  <si>
    <t>35.13</t>
  </si>
  <si>
    <t>36.00</t>
  </si>
  <si>
    <t>Keita</t>
  </si>
  <si>
    <t>19.67</t>
  </si>
  <si>
    <t>Oubre Jr.</t>
  </si>
  <si>
    <t>Kemba</t>
  </si>
  <si>
    <t>27.27</t>
  </si>
  <si>
    <t>Kentavious</t>
  </si>
  <si>
    <t>30.20</t>
  </si>
  <si>
    <t>Kenyon</t>
  </si>
  <si>
    <t>Martin Jr.</t>
  </si>
  <si>
    <t>Kessler</t>
  </si>
  <si>
    <t>13.07</t>
  </si>
  <si>
    <t>11.00</t>
  </si>
  <si>
    <t>39.20</t>
  </si>
  <si>
    <t>40.00</t>
  </si>
  <si>
    <t>Knox II</t>
  </si>
  <si>
    <t>9.20</t>
  </si>
  <si>
    <t>20.00</t>
  </si>
  <si>
    <t>Pangos</t>
  </si>
  <si>
    <t>9.47</t>
  </si>
  <si>
    <t>Porter Jr.</t>
  </si>
  <si>
    <t>27.80</t>
  </si>
  <si>
    <t>Kyrie</t>
  </si>
  <si>
    <t>Irving</t>
  </si>
  <si>
    <t>Lamar</t>
  </si>
  <si>
    <t>15.93</t>
  </si>
  <si>
    <t>LaMarcus</t>
  </si>
  <si>
    <t>Aldridge</t>
  </si>
  <si>
    <t>Lance</t>
  </si>
  <si>
    <t>Lauri</t>
  </si>
  <si>
    <t>28.53</t>
  </si>
  <si>
    <t>31.33</t>
  </si>
  <si>
    <t>Lonnie</t>
  </si>
  <si>
    <t>Walker IV</t>
  </si>
  <si>
    <t>22.60</t>
  </si>
  <si>
    <t>Malcolm</t>
  </si>
  <si>
    <t>Brogdon</t>
  </si>
  <si>
    <t>31.93</t>
  </si>
  <si>
    <t>Marvin</t>
  </si>
  <si>
    <t>Bagley III</t>
  </si>
  <si>
    <t>22.33</t>
  </si>
  <si>
    <t>Mason</t>
  </si>
  <si>
    <t>21.47</t>
  </si>
  <si>
    <t>Matisse</t>
  </si>
  <si>
    <t>Mooney</t>
  </si>
  <si>
    <t>Maurice</t>
  </si>
  <si>
    <t>Harkless</t>
  </si>
  <si>
    <t>16.27</t>
  </si>
  <si>
    <t>35.00</t>
  </si>
  <si>
    <t>McBride</t>
  </si>
  <si>
    <t>9.40</t>
  </si>
  <si>
    <t>25</t>
  </si>
  <si>
    <t>24.40</t>
  </si>
  <si>
    <t>Montrezl</t>
  </si>
  <si>
    <t>22.07</t>
  </si>
  <si>
    <t>Myles</t>
  </si>
  <si>
    <t>7.67</t>
  </si>
  <si>
    <t>30.07</t>
  </si>
  <si>
    <t>Nate</t>
  </si>
  <si>
    <t>Hinton</t>
  </si>
  <si>
    <t>5.07</t>
  </si>
  <si>
    <t>Neemias</t>
  </si>
  <si>
    <t>Noel</t>
  </si>
  <si>
    <t>Nick</t>
  </si>
  <si>
    <t>Richards</t>
  </si>
  <si>
    <t>8.87</t>
  </si>
  <si>
    <t>Nicolas</t>
  </si>
  <si>
    <t>Claxton</t>
  </si>
  <si>
    <t>23.87</t>
  </si>
  <si>
    <t>Nikola</t>
  </si>
  <si>
    <t>32.80</t>
  </si>
  <si>
    <t>Norvel</t>
  </si>
  <si>
    <t>Pelle</t>
  </si>
  <si>
    <t>8</t>
  </si>
  <si>
    <t>6.27</t>
  </si>
  <si>
    <t>17.47</t>
  </si>
  <si>
    <t>Oshae</t>
  </si>
  <si>
    <t>Patty</t>
  </si>
  <si>
    <t>34.40</t>
  </si>
  <si>
    <t>34.00</t>
  </si>
  <si>
    <t>Payton</t>
  </si>
  <si>
    <t>Quentin</t>
  </si>
  <si>
    <t>20.33</t>
  </si>
  <si>
    <t>Rajon</t>
  </si>
  <si>
    <t>Rondo</t>
  </si>
  <si>
    <t>16.60</t>
  </si>
  <si>
    <t>Richaun</t>
  </si>
  <si>
    <t>Holmes</t>
  </si>
  <si>
    <t>Ricky</t>
  </si>
  <si>
    <t>Rubio</t>
  </si>
  <si>
    <t>26.73</t>
  </si>
  <si>
    <t>29.87</t>
  </si>
  <si>
    <t>Nembhard Jr.</t>
  </si>
  <si>
    <t>12.00</t>
  </si>
  <si>
    <t>Robert</t>
  </si>
  <si>
    <t>Williams III</t>
  </si>
  <si>
    <t>Woodard II</t>
  </si>
  <si>
    <t>2.60</t>
  </si>
  <si>
    <t>Romeo</t>
  </si>
  <si>
    <t>Langford</t>
  </si>
  <si>
    <t>7</t>
  </si>
  <si>
    <t>18.73</t>
  </si>
  <si>
    <t>Royce</t>
  </si>
  <si>
    <t>Gay</t>
  </si>
  <si>
    <t>19.80</t>
  </si>
  <si>
    <t>Gobert</t>
  </si>
  <si>
    <t>32.27</t>
  </si>
  <si>
    <t>35.33</t>
  </si>
  <si>
    <t>36</t>
  </si>
  <si>
    <t>Shake</t>
  </si>
  <si>
    <t>Milton</t>
  </si>
  <si>
    <t>Spencer</t>
  </si>
  <si>
    <t>30.53</t>
  </si>
  <si>
    <t>Terry</t>
  </si>
  <si>
    <t>Taylor</t>
  </si>
  <si>
    <t>Thaddeus</t>
  </si>
  <si>
    <t>Bryant</t>
  </si>
  <si>
    <t>26.40</t>
  </si>
  <si>
    <t>Torrey</t>
  </si>
  <si>
    <t>14.80</t>
  </si>
  <si>
    <t>Tyrese</t>
  </si>
  <si>
    <t>33.00</t>
  </si>
  <si>
    <t>34.60</t>
  </si>
  <si>
    <t>32.00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</si>
</sst>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BD0F27B-B16C-4E16-A1C0-B39BE72A16A3}" autoFormatId="16" applyNumberFormats="0" applyBorderFormats="0" applyFontFormats="0" applyPatternFormats="0" applyAlignmentFormats="0" applyWidthHeightFormats="0">
  <queryTableRefresh nextId="46" unboundColumnsRight="7">
    <queryTableFields count="29">
      <queryTableField id="26" name="Player.1" tableColumnId="26"/>
      <queryTableField id="27" name="Player.2" tableColumnId="27"/>
      <queryTableField id="2" name="Team" tableColumnId="2"/>
      <queryTableField id="3" name="Position.1" tableColumnId="3"/>
      <queryTableField id="4" name="Position.2" tableColumnId="4"/>
      <queryTableField id="5" name="Projected Mins" tableColumnId="5"/>
      <queryTableField id="6" name="Last Season" tableColumnId="6"/>
      <queryTableField id="7" name="Last 15 Games" tableColumnId="7"/>
      <queryTableField id="8" name="Last 3 Games" tableColumnId="8"/>
      <queryTableField id="9" name="FPPM" tableColumnId="9"/>
      <queryTableField id="10" name="Minutes" tableColumnId="10"/>
      <queryTableField id="11" name="Salary" tableColumnId="11"/>
      <queryTableField id="12" name="Proj_x000a_          Projection" tableColumnId="12"/>
      <queryTableField id="13" name="Cafe Value" tableColumnId="13"/>
      <queryTableField id="21" name="Table 0 (2).FanDuel" tableColumnId="21"/>
      <queryTableField id="42" name="Table 0 (4).Fanduel Position" tableColumnId="40"/>
      <queryTableField id="43" name="Table 0 (4).Fanduel Position.2" tableColumnId="41"/>
      <queryTableField id="37" name="Matchup" tableColumnId="35"/>
      <queryTableField id="38" name="Spread" tableColumnId="36"/>
      <queryTableField id="39" name="O/U" tableColumnId="37"/>
      <queryTableField id="40" name="Point Projection" tableColumnId="38"/>
      <queryTableField id="41" name="Value" tableColumnId="39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80E3564-3A4C-4047-98F3-7C42B82F33E1}" autoFormatId="16" applyNumberFormats="0" applyBorderFormats="0" applyFontFormats="0" applyPatternFormats="0" applyAlignmentFormats="0" applyWidthHeightFormats="0">
  <queryTableRefresh nextId="8">
    <queryTableFields count="7">
      <queryTableField id="1" name="Name" tableColumnId="1"/>
      <queryTableField id="2" name="Position" tableColumnId="2"/>
      <queryTableField id="3" name="Team" tableColumnId="3"/>
      <queryTableField id="4" name="Opponent_x000a_          Opp" tableColumnId="4"/>
      <queryTableField id="5" name="FanDuel" tableColumnId="5"/>
      <queryTableField id="6" name="DraftKings" tableColumnId="6"/>
      <queryTableField id="7" name="Yahoo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39FD3479-8C2B-4AAA-9A7D-1D9D7BA085F3}" autoFormatId="16" applyNumberFormats="0" applyBorderFormats="0" applyFontFormats="0" applyPatternFormats="0" applyAlignmentFormats="0" applyWidthHeightFormats="0">
  <queryTableRefresh nextId="9">
    <queryTableFields count="8">
      <queryTableField id="1" name="Player Name" tableColumnId="1"/>
      <queryTableField id="2" name="Team" tableColumnId="2"/>
      <queryTableField id="3" name="FanDuel FPts/min Last 5g" tableColumnId="3"/>
      <queryTableField id="4" name="FanDuel FPts/min Last 10g" tableColumnId="4"/>
      <queryTableField id="5" name="FanDuel FPts/min Season" tableColumnId="5"/>
      <queryTableField id="6" name="DraftKings FPts/min Last 5g" tableColumnId="6"/>
      <queryTableField id="7" name="DraftKings FPts/min Last 10g" tableColumnId="7"/>
      <queryTableField id="8" name="DraftKings FPts/min Season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1223B2E-B31A-4477-B805-8EF0EEEF9427}" autoFormatId="16" applyNumberFormats="0" applyBorderFormats="0" applyFontFormats="0" applyPatternFormats="0" applyAlignmentFormats="0" applyWidthHeightFormats="0">
  <queryTableRefresh nextId="22">
    <queryTableFields count="18">
      <queryTableField id="1" name="PLAYER NAME" tableColumnId="1"/>
      <queryTableField id="2" name="MATCHUP SALARY.1" tableColumnId="2"/>
      <queryTableField id="3" name="MATCHUP SALARY.2" tableColumnId="3"/>
      <queryTableField id="4" name="VEGAS POS" tableColumnId="4"/>
      <queryTableField id="18" name="Fanduel Position" tableColumnId="18"/>
      <queryTableField id="19" name="Fanduel Position.2" tableColumnId="19"/>
      <queryTableField id="6" name="PROJECTIONS TEAM" tableColumnId="6"/>
      <queryTableField id="7" name="OPP" tableColumnId="7"/>
      <queryTableField id="8" name="L5 DvP" tableColumnId="8"/>
      <queryTableField id="9" name="SPRD" tableColumnId="9"/>
      <queryTableField id="10" name="O/U" tableColumnId="10"/>
      <queryTableField id="11" name="TM PTS" tableColumnId="11"/>
      <queryTableField id="12" name="FP MIN" tableColumnId="12"/>
      <queryTableField id="13" name="FP AVG" tableColumnId="13"/>
      <queryTableField id="14" name="FP MAX" tableColumnId="14"/>
      <queryTableField id="15" name="FD FP PROJECTED" tableColumnId="15"/>
      <queryTableField id="16" name="VALUE PROJECTED" tableColumnId="16"/>
      <queryTableField id="17" name="Column16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8E4345-BA22-4092-A308-4DBC5546D828}" name="Table_0" displayName="Table_0" ref="A1:AC198" tableType="queryTable" totalsRowShown="0">
  <autoFilter ref="A1:AC198" xr:uid="{AD8E4345-BA22-4092-A308-4DBC5546D828}"/>
  <tableColumns count="29">
    <tableColumn id="26" xr3:uid="{03FA573E-6F00-45AC-95DA-4C8E3B505CC2}" uniqueName="26" name="Player.1" queryTableFieldId="26" dataDxfId="16"/>
    <tableColumn id="27" xr3:uid="{690502DD-42A3-4F47-ACFD-6C6E344E1CEF}" uniqueName="27" name="Player.2" queryTableFieldId="27" dataDxfId="15"/>
    <tableColumn id="2" xr3:uid="{C12CF480-D370-4472-8B99-7BC7024BF393}" uniqueName="2" name="Team" queryTableFieldId="2" dataDxfId="14"/>
    <tableColumn id="3" xr3:uid="{2262697C-AC4C-410C-8469-3B44C70CE331}" uniqueName="3" name="Position.1" queryTableFieldId="3" dataDxfId="13"/>
    <tableColumn id="4" xr3:uid="{17DCA4E4-1116-430C-89A8-CCC3D201D9B2}" uniqueName="4" name="Position.2" queryTableFieldId="4" dataDxfId="12"/>
    <tableColumn id="5" xr3:uid="{3FDE4D50-11F7-4223-A595-96B9E3B86F10}" uniqueName="5" name="Projected Mins" queryTableFieldId="5" dataDxfId="11"/>
    <tableColumn id="6" xr3:uid="{3C1FCCCD-BAFB-4F0B-BAA1-62BE70E17CE1}" uniqueName="6" name="Last Season" queryTableFieldId="6"/>
    <tableColumn id="7" xr3:uid="{0B95201E-CE18-4D93-ABC0-9D06EFB0F46D}" uniqueName="7" name="Last 15 Games" queryTableFieldId="7" dataDxfId="10"/>
    <tableColumn id="8" xr3:uid="{9E611093-71D5-4614-8A73-1B33022B89D9}" uniqueName="8" name="Last 3 Games" queryTableFieldId="8" dataDxfId="9"/>
    <tableColumn id="9" xr3:uid="{912CCCD7-FB74-43A6-A0CA-CD5052DD860E}" uniqueName="9" name="FPPM" queryTableFieldId="9"/>
    <tableColumn id="10" xr3:uid="{19CD3AF7-254A-450F-835E-AC192CBFD66D}" uniqueName="10" name="Minutes" queryTableFieldId="10"/>
    <tableColumn id="11" xr3:uid="{21953CCC-F8ED-4CD7-A392-245429483BDF}" uniqueName="11" name="Salary" queryTableFieldId="11"/>
    <tableColumn id="12" xr3:uid="{9EFF6288-1110-44F5-970F-2E09469990DE}" uniqueName="12" name="Proj_x000a_          Projection" queryTableFieldId="12"/>
    <tableColumn id="13" xr3:uid="{21B52321-238C-4008-B68B-0CB10333345A}" uniqueName="13" name="Cafe Value" queryTableFieldId="13"/>
    <tableColumn id="21" xr3:uid="{F6669A87-3698-430E-96A7-8B51C83472EE}" uniqueName="21" name="Table 0 (2).FanDuel" queryTableFieldId="21" dataDxfId="8"/>
    <tableColumn id="40" xr3:uid="{B92F717D-58B8-4C6B-9E9E-E4B2D2D07397}" uniqueName="40" name="Table 0 (4).Fanduel Position" queryTableFieldId="42" dataDxfId="7"/>
    <tableColumn id="41" xr3:uid="{04A708E0-7F51-4D75-BDFB-A04EEB841037}" uniqueName="41" name="Table 0 (4).Fanduel Position.2" queryTableFieldId="43" dataDxfId="6"/>
    <tableColumn id="35" xr3:uid="{BA083B41-226D-45B4-82DF-D4EC2CDE264A}" uniqueName="35" name="Matchup" queryTableFieldId="37"/>
    <tableColumn id="36" xr3:uid="{64ABC2FD-5074-43A4-9826-BFAB744DE283}" uniqueName="36" name="Spread" queryTableFieldId="38"/>
    <tableColumn id="37" xr3:uid="{F1E3D6E4-83E0-4C0B-B76F-8259EDBB798B}" uniqueName="37" name="O/U" queryTableFieldId="39"/>
    <tableColumn id="38" xr3:uid="{0A37E790-E0F7-4D47-B9ED-2A0E55CEB0CA}" uniqueName="38" name="Point Projection" queryTableFieldId="40"/>
    <tableColumn id="39" xr3:uid="{8D53DFC4-1078-4E17-A9D8-5777DC5B61B5}" uniqueName="39" name="Value" queryTableFieldId="41"/>
    <tableColumn id="14" xr3:uid="{B36D0CF0-C35C-4B40-9BFE-5FD01F6AE0C1}" uniqueName="14" name="IN" queryTableFieldId="14"/>
    <tableColumn id="15" xr3:uid="{36F0EC86-8B21-4355-9F6B-401817FD917F}" uniqueName="15" name="PG" queryTableFieldId="15" dataDxfId="5">
      <calculatedColumnFormula>IF(OR(Table_0[[#This Row],[Table 0 (4).Fanduel Position]]="PG",Table_0[[#This Row],[Table 0 (4).Fanduel Position.2]]="PG"),Table_0[[#This Row],[IN]],"")</calculatedColumnFormula>
    </tableColumn>
    <tableColumn id="16" xr3:uid="{664464A0-7190-4B92-82B2-5FF917E87B28}" uniqueName="16" name="SG" queryTableFieldId="16" dataDxfId="4">
      <calculatedColumnFormula>IF(OR(Table_0[[#This Row],[Table 0 (4).Fanduel Position]]="SG",Table_0[[#This Row],[Table 0 (4).Fanduel Position.2]]="SG"),Table_0[[#This Row],[IN]],"")</calculatedColumnFormula>
    </tableColumn>
    <tableColumn id="17" xr3:uid="{B0437394-98AE-4CFD-90A2-A92ADA5DF91C}" uniqueName="17" name="SF" queryTableFieldId="17" dataDxfId="3">
      <calculatedColumnFormula>IF(OR(Table_0[[#This Row],[Table 0 (4).Fanduel Position]]="SF",Table_0[[#This Row],[Table 0 (4).Fanduel Position.2]]="SF"),Table_0[[#This Row],[IN]],"")</calculatedColumnFormula>
    </tableColumn>
    <tableColumn id="18" xr3:uid="{9506A6CD-BF38-44EE-BA07-742567172652}" uniqueName="18" name="PF" queryTableFieldId="18" dataDxfId="2">
      <calculatedColumnFormula>IF(OR(Table_0[[#This Row],[Table 0 (4).Fanduel Position]]="PF",Table_0[[#This Row],[Table 0 (4).Fanduel Position.2]]="PF"),Table_0[[#This Row],[IN]],"")</calculatedColumnFormula>
    </tableColumn>
    <tableColumn id="19" xr3:uid="{ABD92964-CC37-47E5-B0E8-8128A58FCAC0}" uniqueName="19" name="C" queryTableFieldId="19" dataDxfId="1">
      <calculatedColumnFormula>IF(OR(Table_0[[#This Row],[Table 0 (4).Fanduel Position]]="C",Table_0[[#This Row],[Table 0 (4).Fanduel Position.2]]="C"),Table_0[[#This Row],[IN]],"")</calculatedColumnFormula>
    </tableColumn>
    <tableColumn id="20" xr3:uid="{7941A929-9B8A-40D2-99CE-F2761AFE2F30}" uniqueName="20" name="Column1" queryTableFieldId="20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A3E281-5C7B-405D-BA5C-12E350DBD520}" name="Table_0__2" displayName="Table_0__2" ref="A1:G354" tableType="queryTable" totalsRowShown="0">
  <autoFilter ref="A1:G354" xr:uid="{9AA3E281-5C7B-405D-BA5C-12E350DBD520}"/>
  <tableColumns count="7">
    <tableColumn id="1" xr3:uid="{136D36B4-1A9E-40F2-85D3-9D5BD05DF9BB}" uniqueName="1" name="Name" queryTableFieldId="1" dataDxfId="32"/>
    <tableColumn id="2" xr3:uid="{143E0704-F819-4FF5-B6E3-CC495B0E0FF9}" uniqueName="2" name="Position" queryTableFieldId="2" dataDxfId="31"/>
    <tableColumn id="3" xr3:uid="{444E9689-1039-4427-B778-7901036FB8DE}" uniqueName="3" name="Team" queryTableFieldId="3" dataDxfId="30"/>
    <tableColumn id="4" xr3:uid="{60B47040-4E59-43A7-959C-F9E8A850BA22}" uniqueName="4" name="Opponent_x000a_          Opp" queryTableFieldId="4" dataDxfId="29"/>
    <tableColumn id="5" xr3:uid="{7E061EF4-896B-45C9-B50F-5E92EC39EB6D}" uniqueName="5" name="FanDuel" queryTableFieldId="5" dataDxfId="28"/>
    <tableColumn id="6" xr3:uid="{AB083FF9-4350-4E9E-9D00-313D45BC239C}" uniqueName="6" name="DraftKings" queryTableFieldId="6"/>
    <tableColumn id="7" xr3:uid="{712CAD4F-3F0F-496A-A072-544901381759}" uniqueName="7" name="Yahoo" queryTableFieldId="7" dataDxfId="2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2D3333-5B48-46D4-A3A3-787F090A772B}" name="Table_0__3" displayName="Table_0__3" ref="A1:H218" tableType="queryTable" totalsRowShown="0">
  <autoFilter ref="A1:H218" xr:uid="{E42D3333-5B48-46D4-A3A3-787F090A772B}"/>
  <tableColumns count="8">
    <tableColumn id="1" xr3:uid="{0710137B-FB08-42BA-B05A-4083FC725576}" uniqueName="1" name="Player Name" queryTableFieldId="1" dataDxfId="26"/>
    <tableColumn id="2" xr3:uid="{3A43D0F1-00F0-4D02-877C-395F811319D9}" uniqueName="2" name="Team" queryTableFieldId="2" dataDxfId="25"/>
    <tableColumn id="3" xr3:uid="{C0D083EF-7CF3-41AC-9A22-29EA3410188B}" uniqueName="3" name="FanDuel FPts/min Last 5g" queryTableFieldId="3"/>
    <tableColumn id="4" xr3:uid="{5D583489-533C-49E3-8951-CD962004EFA3}" uniqueName="4" name="FanDuel FPts/min Last 10g" queryTableFieldId="4"/>
    <tableColumn id="5" xr3:uid="{ECD303DA-C423-4832-9A3F-1D3BADB75DDD}" uniqueName="5" name="FanDuel FPts/min Season" queryTableFieldId="5"/>
    <tableColumn id="6" xr3:uid="{21E0D678-178E-4F01-A507-0A32FB8A8E38}" uniqueName="6" name="DraftKings FPts/min Last 5g" queryTableFieldId="6"/>
    <tableColumn id="7" xr3:uid="{EC63151D-C30B-490F-B953-6340F9E38929}" uniqueName="7" name="DraftKings FPts/min Last 10g" queryTableFieldId="7"/>
    <tableColumn id="8" xr3:uid="{6B9A0854-681B-46D9-868D-B035E07E9068}" uniqueName="8" name="DraftKings FPts/min Season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FD3BE3-3B61-4F3D-A43B-953357068789}" name="Table_0__4" displayName="Table_0__4" ref="A1:R247" tableType="queryTable" totalsRowShown="0">
  <autoFilter ref="A1:R247" xr:uid="{C8FD3BE3-3B61-4F3D-A43B-953357068789}"/>
  <tableColumns count="18">
    <tableColumn id="1" xr3:uid="{DF7D4602-98A3-496D-9A8E-3FA21BF103A5}" uniqueName="1" name="PLAYER NAME" queryTableFieldId="1" dataDxfId="24"/>
    <tableColumn id="2" xr3:uid="{DE1CADD4-51BC-4718-AC6E-7C5572DDFB31}" uniqueName="2" name="MATCHUP SALARY.1" queryTableFieldId="2" dataDxfId="23"/>
    <tableColumn id="3" xr3:uid="{57F7140A-8B4D-4D04-85B4-6F43EEDB69F8}" uniqueName="3" name="MATCHUP SALARY.2" queryTableFieldId="3" dataDxfId="22"/>
    <tableColumn id="4" xr3:uid="{5425932E-A72F-4757-8E2C-1F3DFF2F547E}" uniqueName="4" name="VEGAS POS" queryTableFieldId="4" dataDxfId="21"/>
    <tableColumn id="18" xr3:uid="{AC034DDE-0DC5-41B8-B7D9-53A6845CAC8B}" uniqueName="18" name="Fanduel Position" queryTableFieldId="18" dataDxfId="20"/>
    <tableColumn id="19" xr3:uid="{4C012CB9-9718-441D-AE72-73D761FD322C}" uniqueName="19" name="Fanduel Position.2" queryTableFieldId="19" dataDxfId="19"/>
    <tableColumn id="6" xr3:uid="{1344B4AF-A864-48EF-830D-0D9167F596B2}" uniqueName="6" name="PROJECTIONS TEAM" queryTableFieldId="6"/>
    <tableColumn id="7" xr3:uid="{1141D09C-46F6-4E32-A2A8-9BEA392E2543}" uniqueName="7" name="OPP" queryTableFieldId="7" dataDxfId="18"/>
    <tableColumn id="8" xr3:uid="{8A15D856-0F0E-443B-9EA9-B203765E02D9}" uniqueName="8" name="L5 DvP" queryTableFieldId="8" dataDxfId="17"/>
    <tableColumn id="9" xr3:uid="{BEC31B90-673E-4F82-A217-F3B6055A30FB}" uniqueName="9" name="SPRD" queryTableFieldId="9"/>
    <tableColumn id="10" xr3:uid="{143924D2-AF50-4442-9D74-20860E8E6C32}" uniqueName="10" name="O/U" queryTableFieldId="10"/>
    <tableColumn id="11" xr3:uid="{73EF0DE5-97EF-4894-8EED-0B214479C8DD}" uniqueName="11" name="TM PTS" queryTableFieldId="11"/>
    <tableColumn id="12" xr3:uid="{5005B334-4A87-4C52-ADD2-68D9EB5D558A}" uniqueName="12" name="FP MIN" queryTableFieldId="12"/>
    <tableColumn id="13" xr3:uid="{D24DDD04-840B-4389-BC36-2DA39747C3A7}" uniqueName="13" name="FP AVG" queryTableFieldId="13"/>
    <tableColumn id="14" xr3:uid="{B0131F2F-94BD-4253-B58B-DFD8FF414867}" uniqueName="14" name="FP MAX" queryTableFieldId="14"/>
    <tableColumn id="15" xr3:uid="{0068720A-3B3D-4853-BCCF-0D6556D29475}" uniqueName="15" name="FD FP PROJECTED" queryTableFieldId="15"/>
    <tableColumn id="16" xr3:uid="{3E16E759-A768-4979-8373-A8060959397D}" uniqueName="16" name="VALUE PROJECTED" queryTableFieldId="16"/>
    <tableColumn id="17" xr3:uid="{A6DAA865-214C-40BB-BE52-BC749E3FAF3C}" uniqueName="17" name="Column16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848C-263C-4761-8DD6-0BDE6E4A1218}">
  <sheetPr codeName="Sheet1"/>
  <dimension ref="A1:AS302"/>
  <sheetViews>
    <sheetView tabSelected="1" topLeftCell="A165" zoomScale="70" zoomScaleNormal="70" workbookViewId="0">
      <selection activeCell="AE199" sqref="AE199"/>
    </sheetView>
  </sheetViews>
  <sheetFormatPr defaultRowHeight="14.4" x14ac:dyDescent="0.3"/>
  <cols>
    <col min="1" max="1" width="10.6640625" bestFit="1" customWidth="1"/>
    <col min="2" max="2" width="13.77734375" bestFit="1" customWidth="1"/>
    <col min="3" max="3" width="8.44140625" bestFit="1" customWidth="1"/>
    <col min="4" max="5" width="12.33203125" bestFit="1" customWidth="1"/>
    <col min="6" max="6" width="16.88671875" style="3" bestFit="1" customWidth="1"/>
    <col min="7" max="7" width="13.5546875" bestFit="1" customWidth="1"/>
    <col min="8" max="8" width="16" bestFit="1" customWidth="1"/>
    <col min="9" max="9" width="14.88671875" bestFit="1" customWidth="1"/>
    <col min="10" max="10" width="8.77734375" bestFit="1" customWidth="1"/>
    <col min="11" max="11" width="11" bestFit="1" customWidth="1"/>
    <col min="12" max="12" width="8.88671875" bestFit="1" customWidth="1"/>
    <col min="13" max="13" width="21.6640625" bestFit="1" customWidth="1"/>
    <col min="14" max="14" width="13" bestFit="1" customWidth="1"/>
    <col min="15" max="15" width="20.5546875" bestFit="1" customWidth="1"/>
    <col min="16" max="16" width="28.21875" bestFit="1" customWidth="1"/>
    <col min="17" max="17" width="29.6640625" bestFit="1" customWidth="1"/>
    <col min="18" max="18" width="11.33203125" bestFit="1" customWidth="1"/>
    <col min="19" max="19" width="9.6640625" bestFit="1" customWidth="1"/>
    <col min="20" max="20" width="7.33203125" bestFit="1" customWidth="1"/>
    <col min="21" max="21" width="17.77734375" bestFit="1" customWidth="1"/>
    <col min="22" max="22" width="8.77734375" customWidth="1"/>
    <col min="23" max="23" width="5.6640625" bestFit="1" customWidth="1"/>
    <col min="24" max="24" width="6.21875" bestFit="1" customWidth="1"/>
    <col min="25" max="25" width="6.109375" bestFit="1" customWidth="1"/>
    <col min="26" max="26" width="5.6640625" bestFit="1" customWidth="1"/>
    <col min="27" max="27" width="5.77734375" bestFit="1" customWidth="1"/>
    <col min="28" max="28" width="4.88671875" bestFit="1" customWidth="1"/>
    <col min="29" max="29" width="11.33203125" bestFit="1" customWidth="1"/>
    <col min="30" max="30" width="5.6640625" style="2" bestFit="1" customWidth="1"/>
    <col min="31" max="31" width="6.21875" style="2" bestFit="1" customWidth="1"/>
    <col min="32" max="32" width="6.109375" style="2" bestFit="1" customWidth="1"/>
    <col min="33" max="33" width="6.6640625" style="3" bestFit="1" customWidth="1"/>
    <col min="34" max="34" width="6.6640625" bestFit="1" customWidth="1"/>
    <col min="35" max="35" width="4.88671875" bestFit="1" customWidth="1"/>
    <col min="36" max="36" width="11.33203125" bestFit="1" customWidth="1"/>
    <col min="37" max="37" width="5.109375" bestFit="1" customWidth="1"/>
    <col min="38" max="38" width="8.44140625" bestFit="1" customWidth="1"/>
    <col min="39" max="39" width="4.33203125" bestFit="1" customWidth="1"/>
    <col min="40" max="40" width="10.77734375" bestFit="1" customWidth="1"/>
  </cols>
  <sheetData>
    <row r="1" spans="1:41" x14ac:dyDescent="0.3">
      <c r="A1" t="s">
        <v>184</v>
      </c>
      <c r="B1" t="s">
        <v>185</v>
      </c>
      <c r="C1" t="s">
        <v>1</v>
      </c>
      <c r="D1" t="s">
        <v>2</v>
      </c>
      <c r="E1" t="s">
        <v>3</v>
      </c>
      <c r="F1" s="3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2" t="s">
        <v>104</v>
      </c>
      <c r="P1" t="s">
        <v>195</v>
      </c>
      <c r="Q1" t="s">
        <v>196</v>
      </c>
      <c r="R1" t="s">
        <v>189</v>
      </c>
      <c r="S1" t="s">
        <v>190</v>
      </c>
      <c r="T1" t="s">
        <v>120</v>
      </c>
      <c r="U1" t="s">
        <v>191</v>
      </c>
      <c r="V1" t="s">
        <v>192</v>
      </c>
      <c r="W1" t="s">
        <v>41</v>
      </c>
      <c r="X1" t="s">
        <v>21</v>
      </c>
      <c r="Y1" t="s">
        <v>13</v>
      </c>
      <c r="Z1" t="s">
        <v>14</v>
      </c>
      <c r="AA1" t="s">
        <v>16</v>
      </c>
      <c r="AB1" t="s">
        <v>18</v>
      </c>
      <c r="AC1" t="s">
        <v>42</v>
      </c>
      <c r="AD1"/>
      <c r="AE1"/>
      <c r="AF1"/>
      <c r="AG1"/>
      <c r="AL1" t="s">
        <v>40</v>
      </c>
      <c r="AO1" t="s">
        <v>197</v>
      </c>
    </row>
    <row r="2" spans="1:41" x14ac:dyDescent="0.3">
      <c r="A2" s="1" t="s">
        <v>1244</v>
      </c>
      <c r="B2" s="1" t="s">
        <v>1063</v>
      </c>
      <c r="C2" s="1" t="s">
        <v>381</v>
      </c>
      <c r="D2" s="1" t="s">
        <v>14</v>
      </c>
      <c r="E2" s="1"/>
      <c r="F2" s="3" t="s">
        <v>22</v>
      </c>
      <c r="G2">
        <v>0</v>
      </c>
      <c r="H2" s="1" t="s">
        <v>22</v>
      </c>
      <c r="I2" s="1" t="s">
        <v>374</v>
      </c>
      <c r="J2">
        <v>0.65</v>
      </c>
      <c r="K2">
        <v>0</v>
      </c>
      <c r="L2">
        <v>3000</v>
      </c>
      <c r="M2">
        <v>2.13</v>
      </c>
      <c r="N2">
        <v>4.4400000000000004</v>
      </c>
      <c r="O2" s="1">
        <v>100000</v>
      </c>
      <c r="P2" s="1" t="s">
        <v>14</v>
      </c>
      <c r="Q2" s="1"/>
      <c r="R2">
        <v>26</v>
      </c>
      <c r="S2">
        <v>-5.5</v>
      </c>
      <c r="T2">
        <v>225</v>
      </c>
      <c r="U2">
        <v>13.8</v>
      </c>
      <c r="V2">
        <v>3.94</v>
      </c>
      <c r="W2">
        <v>0</v>
      </c>
      <c r="X2" s="1" t="str">
        <f>IF(OR(Table_0[[#This Row],[Table 0 (4).Fanduel Position]]="PG",Table_0[[#This Row],[Table 0 (4).Fanduel Position.2]]="PG"),Table_0[[#This Row],[IN]],"")</f>
        <v/>
      </c>
      <c r="Y2" s="1" t="str">
        <f>IF(OR(Table_0[[#This Row],[Table 0 (4).Fanduel Position]]="SG",Table_0[[#This Row],[Table 0 (4).Fanduel Position.2]]="SG"),Table_0[[#This Row],[IN]],"")</f>
        <v/>
      </c>
      <c r="Z2" s="1">
        <f>IF(OR(Table_0[[#This Row],[Table 0 (4).Fanduel Position]]="SF",Table_0[[#This Row],[Table 0 (4).Fanduel Position.2]]="SF"),Table_0[[#This Row],[IN]],"")</f>
        <v>0</v>
      </c>
      <c r="AA2" s="1" t="str">
        <f>IF(OR(Table_0[[#This Row],[Table 0 (4).Fanduel Position]]="PF",Table_0[[#This Row],[Table 0 (4).Fanduel Position.2]]="PF"),Table_0[[#This Row],[IN]],"")</f>
        <v/>
      </c>
      <c r="AB2" s="1" t="str">
        <f>IF(OR(Table_0[[#This Row],[Table 0 (4).Fanduel Position]]="C",Table_0[[#This Row],[Table 0 (4).Fanduel Position.2]]="C"),Table_0[[#This Row],[IN]],"")</f>
        <v/>
      </c>
      <c r="AC2" s="1"/>
      <c r="AD2"/>
      <c r="AE2"/>
      <c r="AF2" t="s">
        <v>43</v>
      </c>
      <c r="AG2"/>
      <c r="AH2">
        <f>SUMPRODUCT(U:U,W:W)</f>
        <v>328.09999999999997</v>
      </c>
      <c r="AL2" t="str">
        <f t="shared" ref="AL2:AL65" si="0">IF(W1=1,B1,"")</f>
        <v/>
      </c>
      <c r="AN2">
        <f>SUM(AM:AM)</f>
        <v>52.6</v>
      </c>
    </row>
    <row r="3" spans="1:41" x14ac:dyDescent="0.3">
      <c r="A3" s="1" t="s">
        <v>1244</v>
      </c>
      <c r="B3" s="1" t="s">
        <v>208</v>
      </c>
      <c r="C3" s="1" t="s">
        <v>257</v>
      </c>
      <c r="D3" s="1" t="s">
        <v>21</v>
      </c>
      <c r="E3" s="1" t="s">
        <v>13</v>
      </c>
      <c r="F3" s="3" t="s">
        <v>17</v>
      </c>
      <c r="G3">
        <v>17.82</v>
      </c>
      <c r="H3" s="1" t="s">
        <v>379</v>
      </c>
      <c r="I3" s="1" t="s">
        <v>23</v>
      </c>
      <c r="J3">
        <v>0.81</v>
      </c>
      <c r="K3">
        <v>0</v>
      </c>
      <c r="L3">
        <v>3200</v>
      </c>
      <c r="M3">
        <v>0</v>
      </c>
      <c r="N3">
        <v>0</v>
      </c>
      <c r="O3" s="1">
        <v>4000</v>
      </c>
      <c r="P3" s="1"/>
      <c r="Q3" s="1"/>
      <c r="W3">
        <v>0</v>
      </c>
      <c r="X3" s="1" t="str">
        <f>IF(OR(Table_0[[#This Row],[Table 0 (4).Fanduel Position]]="PG",Table_0[[#This Row],[Table 0 (4).Fanduel Position.2]]="PG"),Table_0[[#This Row],[IN]],"")</f>
        <v/>
      </c>
      <c r="Y3" s="1" t="str">
        <f>IF(OR(Table_0[[#This Row],[Table 0 (4).Fanduel Position]]="SG",Table_0[[#This Row],[Table 0 (4).Fanduel Position.2]]="SG"),Table_0[[#This Row],[IN]],"")</f>
        <v/>
      </c>
      <c r="Z3" s="1" t="str">
        <f>IF(OR(Table_0[[#This Row],[Table 0 (4).Fanduel Position]]="SF",Table_0[[#This Row],[Table 0 (4).Fanduel Position.2]]="SF"),Table_0[[#This Row],[IN]],"")</f>
        <v/>
      </c>
      <c r="AA3" s="1" t="str">
        <f>IF(OR(Table_0[[#This Row],[Table 0 (4).Fanduel Position]]="PF",Table_0[[#This Row],[Table 0 (4).Fanduel Position.2]]="PF"),Table_0[[#This Row],[IN]],"")</f>
        <v/>
      </c>
      <c r="AB3" s="1" t="str">
        <f>IF(OR(Table_0[[#This Row],[Table 0 (4).Fanduel Position]]="C",Table_0[[#This Row],[Table 0 (4).Fanduel Position.2]]="C"),Table_0[[#This Row],[IN]],"")</f>
        <v/>
      </c>
      <c r="AC3" s="1"/>
      <c r="AD3"/>
      <c r="AE3"/>
      <c r="AF3" t="s">
        <v>10</v>
      </c>
      <c r="AG3">
        <v>60000</v>
      </c>
      <c r="AH3">
        <f>SUMPRODUCT(W:W,O:O)</f>
        <v>59700</v>
      </c>
      <c r="AL3" t="str">
        <f t="shared" si="0"/>
        <v/>
      </c>
    </row>
    <row r="4" spans="1:41" x14ac:dyDescent="0.3">
      <c r="A4" s="1" t="s">
        <v>1244</v>
      </c>
      <c r="B4" s="1" t="s">
        <v>1245</v>
      </c>
      <c r="C4" s="1" t="s">
        <v>385</v>
      </c>
      <c r="D4" s="1" t="s">
        <v>13</v>
      </c>
      <c r="E4" s="1"/>
      <c r="F4" s="3" t="s">
        <v>237</v>
      </c>
      <c r="G4">
        <v>14.52</v>
      </c>
      <c r="H4" s="1" t="s">
        <v>1246</v>
      </c>
      <c r="I4" s="1" t="s">
        <v>362</v>
      </c>
      <c r="J4">
        <v>0.7</v>
      </c>
      <c r="K4">
        <v>2</v>
      </c>
      <c r="L4">
        <v>3000</v>
      </c>
      <c r="M4">
        <v>5.34</v>
      </c>
      <c r="N4">
        <v>11.13</v>
      </c>
      <c r="O4" s="1">
        <v>3500</v>
      </c>
      <c r="P4" s="1"/>
      <c r="Q4" s="1"/>
      <c r="W4">
        <v>0</v>
      </c>
      <c r="X4" s="1" t="str">
        <f>IF(OR(Table_0[[#This Row],[Table 0 (4).Fanduel Position]]="PG",Table_0[[#This Row],[Table 0 (4).Fanduel Position.2]]="PG"),Table_0[[#This Row],[IN]],"")</f>
        <v/>
      </c>
      <c r="Y4" s="1" t="str">
        <f>IF(OR(Table_0[[#This Row],[Table 0 (4).Fanduel Position]]="SG",Table_0[[#This Row],[Table 0 (4).Fanduel Position.2]]="SG"),Table_0[[#This Row],[IN]],"")</f>
        <v/>
      </c>
      <c r="Z4" s="1" t="str">
        <f>IF(OR(Table_0[[#This Row],[Table 0 (4).Fanduel Position]]="SF",Table_0[[#This Row],[Table 0 (4).Fanduel Position.2]]="SF"),Table_0[[#This Row],[IN]],"")</f>
        <v/>
      </c>
      <c r="AA4" s="1" t="str">
        <f>IF(OR(Table_0[[#This Row],[Table 0 (4).Fanduel Position]]="PF",Table_0[[#This Row],[Table 0 (4).Fanduel Position.2]]="PF"),Table_0[[#This Row],[IN]],"")</f>
        <v/>
      </c>
      <c r="AB4" s="1" t="str">
        <f>IF(OR(Table_0[[#This Row],[Table 0 (4).Fanduel Position]]="C",Table_0[[#This Row],[Table 0 (4).Fanduel Position.2]]="C"),Table_0[[#This Row],[IN]],"")</f>
        <v/>
      </c>
      <c r="AC4" s="1"/>
      <c r="AD4"/>
      <c r="AE4"/>
      <c r="AF4" t="s">
        <v>0</v>
      </c>
      <c r="AG4">
        <v>9</v>
      </c>
      <c r="AH4">
        <f>SUM(W:W)</f>
        <v>9</v>
      </c>
      <c r="AL4" t="str">
        <f t="shared" si="0"/>
        <v/>
      </c>
    </row>
    <row r="5" spans="1:41" x14ac:dyDescent="0.3">
      <c r="A5" s="1" t="s">
        <v>1247</v>
      </c>
      <c r="B5" s="1" t="s">
        <v>1248</v>
      </c>
      <c r="C5" s="1" t="s">
        <v>388</v>
      </c>
      <c r="D5" s="1" t="s">
        <v>13</v>
      </c>
      <c r="E5" s="1"/>
      <c r="F5" s="3" t="s">
        <v>17</v>
      </c>
      <c r="G5">
        <v>0</v>
      </c>
      <c r="H5" s="1" t="s">
        <v>22</v>
      </c>
      <c r="I5" s="1" t="s">
        <v>29</v>
      </c>
      <c r="J5">
        <v>0</v>
      </c>
      <c r="K5">
        <v>0</v>
      </c>
      <c r="L5">
        <v>3000</v>
      </c>
      <c r="M5">
        <v>0</v>
      </c>
      <c r="N5">
        <v>0</v>
      </c>
      <c r="O5" s="1">
        <v>100000</v>
      </c>
      <c r="P5" s="1" t="s">
        <v>21</v>
      </c>
      <c r="Q5" s="1" t="s">
        <v>13</v>
      </c>
      <c r="R5">
        <v>6</v>
      </c>
      <c r="S5">
        <v>-7</v>
      </c>
      <c r="T5">
        <v>233.5</v>
      </c>
      <c r="U5">
        <v>46.9</v>
      </c>
      <c r="V5">
        <v>4.59</v>
      </c>
      <c r="W5">
        <v>0</v>
      </c>
      <c r="X5" s="1">
        <f>IF(OR(Table_0[[#This Row],[Table 0 (4).Fanduel Position]]="PG",Table_0[[#This Row],[Table 0 (4).Fanduel Position.2]]="PG"),Table_0[[#This Row],[IN]],"")</f>
        <v>0</v>
      </c>
      <c r="Y5" s="1">
        <f>IF(OR(Table_0[[#This Row],[Table 0 (4).Fanduel Position]]="SG",Table_0[[#This Row],[Table 0 (4).Fanduel Position.2]]="SG"),Table_0[[#This Row],[IN]],"")</f>
        <v>0</v>
      </c>
      <c r="Z5" s="1" t="str">
        <f>IF(OR(Table_0[[#This Row],[Table 0 (4).Fanduel Position]]="SF",Table_0[[#This Row],[Table 0 (4).Fanduel Position.2]]="SF"),Table_0[[#This Row],[IN]],"")</f>
        <v/>
      </c>
      <c r="AA5" s="1" t="str">
        <f>IF(OR(Table_0[[#This Row],[Table 0 (4).Fanduel Position]]="PF",Table_0[[#This Row],[Table 0 (4).Fanduel Position.2]]="PF"),Table_0[[#This Row],[IN]],"")</f>
        <v/>
      </c>
      <c r="AB5" s="1" t="str">
        <f>IF(OR(Table_0[[#This Row],[Table 0 (4).Fanduel Position]]="C",Table_0[[#This Row],[Table 0 (4).Fanduel Position.2]]="C"),Table_0[[#This Row],[IN]],"")</f>
        <v/>
      </c>
      <c r="AC5" s="1"/>
      <c r="AD5"/>
      <c r="AE5"/>
      <c r="AF5"/>
      <c r="AG5" t="s">
        <v>44</v>
      </c>
      <c r="AI5" t="s">
        <v>45</v>
      </c>
      <c r="AL5" t="str">
        <f t="shared" si="0"/>
        <v/>
      </c>
    </row>
    <row r="6" spans="1:41" x14ac:dyDescent="0.3">
      <c r="A6" s="1" t="s">
        <v>1249</v>
      </c>
      <c r="B6" s="1" t="s">
        <v>1250</v>
      </c>
      <c r="C6" s="1" t="s">
        <v>392</v>
      </c>
      <c r="D6" s="1" t="s">
        <v>13</v>
      </c>
      <c r="E6" s="1"/>
      <c r="F6" s="3" t="s">
        <v>17</v>
      </c>
      <c r="G6">
        <v>0</v>
      </c>
      <c r="H6" s="1" t="s">
        <v>22</v>
      </c>
      <c r="I6" s="1" t="s">
        <v>363</v>
      </c>
      <c r="J6">
        <v>0</v>
      </c>
      <c r="K6">
        <v>0</v>
      </c>
      <c r="L6">
        <v>3000</v>
      </c>
      <c r="M6">
        <v>0</v>
      </c>
      <c r="N6">
        <v>0</v>
      </c>
      <c r="O6" s="1">
        <v>10000</v>
      </c>
      <c r="P6" s="1"/>
      <c r="Q6" s="1"/>
      <c r="W6">
        <v>0</v>
      </c>
      <c r="X6" s="1" t="str">
        <f>IF(OR(Table_0[[#This Row],[Table 0 (4).Fanduel Position]]="PG",Table_0[[#This Row],[Table 0 (4).Fanduel Position.2]]="PG"),Table_0[[#This Row],[IN]],"")</f>
        <v/>
      </c>
      <c r="Y6" s="1" t="str">
        <f>IF(OR(Table_0[[#This Row],[Table 0 (4).Fanduel Position]]="SG",Table_0[[#This Row],[Table 0 (4).Fanduel Position.2]]="SG"),Table_0[[#This Row],[IN]],"")</f>
        <v/>
      </c>
      <c r="Z6" s="1" t="str">
        <f>IF(OR(Table_0[[#This Row],[Table 0 (4).Fanduel Position]]="SF",Table_0[[#This Row],[Table 0 (4).Fanduel Position.2]]="SF"),Table_0[[#This Row],[IN]],"")</f>
        <v/>
      </c>
      <c r="AA6" s="1" t="str">
        <f>IF(OR(Table_0[[#This Row],[Table 0 (4).Fanduel Position]]="PF",Table_0[[#This Row],[Table 0 (4).Fanduel Position.2]]="PF"),Table_0[[#This Row],[IN]],"")</f>
        <v/>
      </c>
      <c r="AB6" s="1" t="str">
        <f>IF(OR(Table_0[[#This Row],[Table 0 (4).Fanduel Position]]="C",Table_0[[#This Row],[Table 0 (4).Fanduel Position.2]]="C"),Table_0[[#This Row],[IN]],"")</f>
        <v/>
      </c>
      <c r="AC6" s="1"/>
      <c r="AD6"/>
      <c r="AE6"/>
      <c r="AF6" t="s">
        <v>21</v>
      </c>
      <c r="AG6">
        <v>2</v>
      </c>
      <c r="AH6">
        <f>SUM(X:X)</f>
        <v>2</v>
      </c>
      <c r="AI6">
        <v>4</v>
      </c>
      <c r="AL6" t="str">
        <f t="shared" si="0"/>
        <v/>
      </c>
    </row>
    <row r="7" spans="1:41" x14ac:dyDescent="0.3">
      <c r="A7" s="1" t="s">
        <v>888</v>
      </c>
      <c r="B7" s="1" t="s">
        <v>889</v>
      </c>
      <c r="C7" s="1" t="s">
        <v>385</v>
      </c>
      <c r="D7" s="1" t="s">
        <v>16</v>
      </c>
      <c r="E7" s="1" t="s">
        <v>18</v>
      </c>
      <c r="F7" s="3" t="s">
        <v>1251</v>
      </c>
      <c r="G7">
        <v>27.89</v>
      </c>
      <c r="H7" s="1" t="s">
        <v>1252</v>
      </c>
      <c r="I7" s="1" t="s">
        <v>1253</v>
      </c>
      <c r="J7">
        <v>1.06</v>
      </c>
      <c r="K7">
        <v>27</v>
      </c>
      <c r="L7">
        <v>5400</v>
      </c>
      <c r="M7">
        <v>30.5</v>
      </c>
      <c r="N7">
        <v>35.299999999999997</v>
      </c>
      <c r="O7" s="1">
        <v>5800</v>
      </c>
      <c r="P7" s="1" t="s">
        <v>16</v>
      </c>
      <c r="Q7" s="1" t="s">
        <v>18</v>
      </c>
      <c r="R7">
        <v>21</v>
      </c>
      <c r="S7">
        <v>-2</v>
      </c>
      <c r="T7">
        <v>211</v>
      </c>
      <c r="U7">
        <v>24.9</v>
      </c>
      <c r="V7">
        <v>4.29</v>
      </c>
      <c r="W7">
        <v>0</v>
      </c>
      <c r="X7" s="1" t="str">
        <f>IF(OR(Table_0[[#This Row],[Table 0 (4).Fanduel Position]]="PG",Table_0[[#This Row],[Table 0 (4).Fanduel Position.2]]="PG"),Table_0[[#This Row],[IN]],"")</f>
        <v/>
      </c>
      <c r="Y7" s="1" t="str">
        <f>IF(OR(Table_0[[#This Row],[Table 0 (4).Fanduel Position]]="SG",Table_0[[#This Row],[Table 0 (4).Fanduel Position.2]]="SG"),Table_0[[#This Row],[IN]],"")</f>
        <v/>
      </c>
      <c r="Z7" s="1" t="str">
        <f>IF(OR(Table_0[[#This Row],[Table 0 (4).Fanduel Position]]="SF",Table_0[[#This Row],[Table 0 (4).Fanduel Position.2]]="SF"),Table_0[[#This Row],[IN]],"")</f>
        <v/>
      </c>
      <c r="AA7" s="1">
        <f>IF(OR(Table_0[[#This Row],[Table 0 (4).Fanduel Position]]="PF",Table_0[[#This Row],[Table 0 (4).Fanduel Position.2]]="PF"),Table_0[[#This Row],[IN]],"")</f>
        <v>0</v>
      </c>
      <c r="AB7" s="1">
        <f>IF(OR(Table_0[[#This Row],[Table 0 (4).Fanduel Position]]="C",Table_0[[#This Row],[Table 0 (4).Fanduel Position.2]]="C"),Table_0[[#This Row],[IN]],"")</f>
        <v>0</v>
      </c>
      <c r="AC7" s="1"/>
      <c r="AD7"/>
      <c r="AE7"/>
      <c r="AF7" t="s">
        <v>13</v>
      </c>
      <c r="AG7">
        <v>2</v>
      </c>
      <c r="AH7">
        <f>SUM(Y:Y)</f>
        <v>2</v>
      </c>
      <c r="AI7">
        <v>4</v>
      </c>
      <c r="AL7" t="str">
        <f t="shared" si="0"/>
        <v/>
      </c>
    </row>
    <row r="8" spans="1:41" x14ac:dyDescent="0.3">
      <c r="A8" s="1" t="s">
        <v>1254</v>
      </c>
      <c r="B8" s="1" t="s">
        <v>1255</v>
      </c>
      <c r="C8" s="1" t="s">
        <v>385</v>
      </c>
      <c r="D8" s="1" t="s">
        <v>16</v>
      </c>
      <c r="E8" s="1"/>
      <c r="F8" s="3" t="s">
        <v>17</v>
      </c>
      <c r="G8">
        <v>18.87</v>
      </c>
      <c r="H8" s="1" t="s">
        <v>1256</v>
      </c>
      <c r="I8" s="1" t="s">
        <v>1257</v>
      </c>
      <c r="J8">
        <v>0.74</v>
      </c>
      <c r="K8">
        <v>0</v>
      </c>
      <c r="L8">
        <v>3000</v>
      </c>
      <c r="M8">
        <v>0</v>
      </c>
      <c r="N8">
        <v>0</v>
      </c>
      <c r="O8" s="1">
        <v>100000</v>
      </c>
      <c r="P8" s="1"/>
      <c r="Q8" s="1"/>
      <c r="W8">
        <v>0</v>
      </c>
      <c r="X8" s="1" t="str">
        <f>IF(OR(Table_0[[#This Row],[Table 0 (4).Fanduel Position]]="PG",Table_0[[#This Row],[Table 0 (4).Fanduel Position.2]]="PG"),Table_0[[#This Row],[IN]],"")</f>
        <v/>
      </c>
      <c r="Y8" s="1" t="str">
        <f>IF(OR(Table_0[[#This Row],[Table 0 (4).Fanduel Position]]="SG",Table_0[[#This Row],[Table 0 (4).Fanduel Position.2]]="SG"),Table_0[[#This Row],[IN]],"")</f>
        <v/>
      </c>
      <c r="Z8" s="1" t="str">
        <f>IF(OR(Table_0[[#This Row],[Table 0 (4).Fanduel Position]]="SF",Table_0[[#This Row],[Table 0 (4).Fanduel Position.2]]="SF"),Table_0[[#This Row],[IN]],"")</f>
        <v/>
      </c>
      <c r="AA8" s="1" t="str">
        <f>IF(OR(Table_0[[#This Row],[Table 0 (4).Fanduel Position]]="PF",Table_0[[#This Row],[Table 0 (4).Fanduel Position.2]]="PF"),Table_0[[#This Row],[IN]],"")</f>
        <v/>
      </c>
      <c r="AB8" s="1" t="str">
        <f>IF(OR(Table_0[[#This Row],[Table 0 (4).Fanduel Position]]="C",Table_0[[#This Row],[Table 0 (4).Fanduel Position.2]]="C"),Table_0[[#This Row],[IN]],"")</f>
        <v/>
      </c>
      <c r="AC8" s="1"/>
      <c r="AD8"/>
      <c r="AE8"/>
      <c r="AF8" t="s">
        <v>14</v>
      </c>
      <c r="AG8">
        <v>2</v>
      </c>
      <c r="AH8">
        <f>SUM(Z:Z)</f>
        <v>4</v>
      </c>
      <c r="AI8">
        <v>4</v>
      </c>
      <c r="AL8" t="str">
        <f t="shared" si="0"/>
        <v/>
      </c>
    </row>
    <row r="9" spans="1:41" x14ac:dyDescent="0.3">
      <c r="A9" s="1" t="s">
        <v>945</v>
      </c>
      <c r="B9" s="1" t="s">
        <v>946</v>
      </c>
      <c r="C9" s="1" t="s">
        <v>396</v>
      </c>
      <c r="D9" s="1" t="s">
        <v>13</v>
      </c>
      <c r="E9" s="1" t="s">
        <v>14</v>
      </c>
      <c r="F9" s="3" t="s">
        <v>27</v>
      </c>
      <c r="G9">
        <v>25.59</v>
      </c>
      <c r="H9" s="1" t="s">
        <v>1258</v>
      </c>
      <c r="I9" s="1" t="s">
        <v>25</v>
      </c>
      <c r="J9">
        <v>0.9</v>
      </c>
      <c r="K9">
        <v>26</v>
      </c>
      <c r="L9">
        <v>5600</v>
      </c>
      <c r="M9">
        <v>28.22</v>
      </c>
      <c r="N9">
        <v>31.5</v>
      </c>
      <c r="O9" s="1">
        <v>5800</v>
      </c>
      <c r="P9" s="1" t="s">
        <v>21</v>
      </c>
      <c r="Q9" s="1" t="s">
        <v>13</v>
      </c>
      <c r="R9">
        <v>7</v>
      </c>
      <c r="S9">
        <v>2.5</v>
      </c>
      <c r="T9">
        <v>204.5</v>
      </c>
      <c r="U9">
        <v>20.8</v>
      </c>
      <c r="V9">
        <v>3.59</v>
      </c>
      <c r="W9">
        <v>0</v>
      </c>
      <c r="X9" s="1">
        <f>IF(OR(Table_0[[#This Row],[Table 0 (4).Fanduel Position]]="PG",Table_0[[#This Row],[Table 0 (4).Fanduel Position.2]]="PG"),Table_0[[#This Row],[IN]],"")</f>
        <v>0</v>
      </c>
      <c r="Y9" s="1">
        <f>IF(OR(Table_0[[#This Row],[Table 0 (4).Fanduel Position]]="SG",Table_0[[#This Row],[Table 0 (4).Fanduel Position.2]]="SG"),Table_0[[#This Row],[IN]],"")</f>
        <v>0</v>
      </c>
      <c r="Z9" s="1" t="str">
        <f>IF(OR(Table_0[[#This Row],[Table 0 (4).Fanduel Position]]="SF",Table_0[[#This Row],[Table 0 (4).Fanduel Position.2]]="SF"),Table_0[[#This Row],[IN]],"")</f>
        <v/>
      </c>
      <c r="AA9" s="1" t="str">
        <f>IF(OR(Table_0[[#This Row],[Table 0 (4).Fanduel Position]]="PF",Table_0[[#This Row],[Table 0 (4).Fanduel Position.2]]="PF"),Table_0[[#This Row],[IN]],"")</f>
        <v/>
      </c>
      <c r="AB9" s="1" t="str">
        <f>IF(OR(Table_0[[#This Row],[Table 0 (4).Fanduel Position]]="C",Table_0[[#This Row],[Table 0 (4).Fanduel Position.2]]="C"),Table_0[[#This Row],[IN]],"")</f>
        <v/>
      </c>
      <c r="AC9" s="1"/>
      <c r="AD9"/>
      <c r="AE9"/>
      <c r="AF9" t="s">
        <v>16</v>
      </c>
      <c r="AG9">
        <v>2</v>
      </c>
      <c r="AH9">
        <f>SUM(AA:AA)</f>
        <v>3</v>
      </c>
      <c r="AI9">
        <v>4</v>
      </c>
      <c r="AL9" t="str">
        <f t="shared" si="0"/>
        <v/>
      </c>
    </row>
    <row r="10" spans="1:41" x14ac:dyDescent="0.3">
      <c r="A10" s="1" t="s">
        <v>294</v>
      </c>
      <c r="B10" s="1" t="s">
        <v>1259</v>
      </c>
      <c r="C10" s="1" t="s">
        <v>251</v>
      </c>
      <c r="D10" s="1" t="s">
        <v>21</v>
      </c>
      <c r="E10" s="1" t="s">
        <v>13</v>
      </c>
      <c r="F10" s="3" t="s">
        <v>17</v>
      </c>
      <c r="G10">
        <v>20.97</v>
      </c>
      <c r="H10" s="1" t="s">
        <v>1260</v>
      </c>
      <c r="I10" s="1" t="s">
        <v>1261</v>
      </c>
      <c r="J10">
        <v>0.89</v>
      </c>
      <c r="K10">
        <v>0</v>
      </c>
      <c r="L10">
        <v>4600</v>
      </c>
      <c r="M10">
        <v>0</v>
      </c>
      <c r="N10">
        <v>0</v>
      </c>
      <c r="O10" s="1">
        <v>4800</v>
      </c>
      <c r="P10" s="1" t="s">
        <v>21</v>
      </c>
      <c r="Q10" s="1" t="s">
        <v>13</v>
      </c>
      <c r="R10">
        <v>7</v>
      </c>
      <c r="S10">
        <v>-2</v>
      </c>
      <c r="T10">
        <v>235.5</v>
      </c>
      <c r="U10">
        <v>0</v>
      </c>
      <c r="V10">
        <v>0</v>
      </c>
      <c r="W10">
        <v>0</v>
      </c>
      <c r="X10" s="1">
        <f>IF(OR(Table_0[[#This Row],[Table 0 (4).Fanduel Position]]="PG",Table_0[[#This Row],[Table 0 (4).Fanduel Position.2]]="PG"),Table_0[[#This Row],[IN]],"")</f>
        <v>0</v>
      </c>
      <c r="Y10" s="1">
        <f>IF(OR(Table_0[[#This Row],[Table 0 (4).Fanduel Position]]="SG",Table_0[[#This Row],[Table 0 (4).Fanduel Position.2]]="SG"),Table_0[[#This Row],[IN]],"")</f>
        <v>0</v>
      </c>
      <c r="Z10" s="1" t="str">
        <f>IF(OR(Table_0[[#This Row],[Table 0 (4).Fanduel Position]]="SF",Table_0[[#This Row],[Table 0 (4).Fanduel Position.2]]="SF"),Table_0[[#This Row],[IN]],"")</f>
        <v/>
      </c>
      <c r="AA10" s="1" t="str">
        <f>IF(OR(Table_0[[#This Row],[Table 0 (4).Fanduel Position]]="PF",Table_0[[#This Row],[Table 0 (4).Fanduel Position.2]]="PF"),Table_0[[#This Row],[IN]],"")</f>
        <v/>
      </c>
      <c r="AB10" s="1" t="str">
        <f>IF(OR(Table_0[[#This Row],[Table 0 (4).Fanduel Position]]="C",Table_0[[#This Row],[Table 0 (4).Fanduel Position.2]]="C"),Table_0[[#This Row],[IN]],"")</f>
        <v/>
      </c>
      <c r="AC10" s="1"/>
      <c r="AD10"/>
      <c r="AE10"/>
      <c r="AF10" t="s">
        <v>18</v>
      </c>
      <c r="AG10">
        <v>1</v>
      </c>
      <c r="AH10">
        <f>SUM(AB:AB)</f>
        <v>2</v>
      </c>
      <c r="AI10">
        <v>2</v>
      </c>
      <c r="AL10" t="str">
        <f t="shared" si="0"/>
        <v/>
      </c>
    </row>
    <row r="11" spans="1:41" x14ac:dyDescent="0.3">
      <c r="A11" s="1" t="s">
        <v>294</v>
      </c>
      <c r="B11" s="1" t="s">
        <v>909</v>
      </c>
      <c r="C11" s="1" t="s">
        <v>388</v>
      </c>
      <c r="D11" s="1" t="s">
        <v>18</v>
      </c>
      <c r="E11" s="1"/>
      <c r="F11" s="3" t="s">
        <v>1262</v>
      </c>
      <c r="G11">
        <v>15.28</v>
      </c>
      <c r="H11" s="1" t="s">
        <v>1263</v>
      </c>
      <c r="I11" s="1" t="s">
        <v>1264</v>
      </c>
      <c r="J11">
        <v>0.95</v>
      </c>
      <c r="K11">
        <v>23</v>
      </c>
      <c r="L11">
        <v>4000</v>
      </c>
      <c r="M11">
        <v>24</v>
      </c>
      <c r="N11">
        <v>37.5</v>
      </c>
      <c r="O11" s="1">
        <v>4700</v>
      </c>
      <c r="P11" s="1" t="s">
        <v>18</v>
      </c>
      <c r="Q11" s="1" t="s">
        <v>16</v>
      </c>
      <c r="R11">
        <v>2</v>
      </c>
      <c r="S11">
        <v>4</v>
      </c>
      <c r="T11">
        <v>231</v>
      </c>
      <c r="U11">
        <v>23.5</v>
      </c>
      <c r="V11">
        <v>4.99</v>
      </c>
      <c r="W11">
        <v>0</v>
      </c>
      <c r="X11" s="1" t="str">
        <f>IF(OR(Table_0[[#This Row],[Table 0 (4).Fanduel Position]]="PG",Table_0[[#This Row],[Table 0 (4).Fanduel Position.2]]="PG"),Table_0[[#This Row],[IN]],"")</f>
        <v/>
      </c>
      <c r="Y11" s="1" t="str">
        <f>IF(OR(Table_0[[#This Row],[Table 0 (4).Fanduel Position]]="SG",Table_0[[#This Row],[Table 0 (4).Fanduel Position.2]]="SG"),Table_0[[#This Row],[IN]],"")</f>
        <v/>
      </c>
      <c r="Z11" s="1" t="str">
        <f>IF(OR(Table_0[[#This Row],[Table 0 (4).Fanduel Position]]="SF",Table_0[[#This Row],[Table 0 (4).Fanduel Position.2]]="SF"),Table_0[[#This Row],[IN]],"")</f>
        <v/>
      </c>
      <c r="AA11" s="1">
        <f>IF(OR(Table_0[[#This Row],[Table 0 (4).Fanduel Position]]="PF",Table_0[[#This Row],[Table 0 (4).Fanduel Position.2]]="PF"),Table_0[[#This Row],[IN]],"")</f>
        <v>0</v>
      </c>
      <c r="AB11" s="1">
        <f>IF(OR(Table_0[[#This Row],[Table 0 (4).Fanduel Position]]="C",Table_0[[#This Row],[Table 0 (4).Fanduel Position.2]]="C"),Table_0[[#This Row],[IN]],"")</f>
        <v>0</v>
      </c>
      <c r="AC11" s="1"/>
      <c r="AD11"/>
      <c r="AE11"/>
      <c r="AF11"/>
      <c r="AG11"/>
      <c r="AL11" t="str">
        <f t="shared" si="0"/>
        <v/>
      </c>
    </row>
    <row r="12" spans="1:41" x14ac:dyDescent="0.3">
      <c r="A12" s="1" t="s">
        <v>1265</v>
      </c>
      <c r="B12" s="1" t="s">
        <v>1266</v>
      </c>
      <c r="C12" s="1" t="s">
        <v>251</v>
      </c>
      <c r="D12" s="1" t="s">
        <v>14</v>
      </c>
      <c r="E12" s="1" t="s">
        <v>16</v>
      </c>
      <c r="F12" s="3" t="s">
        <v>17</v>
      </c>
      <c r="G12">
        <v>6.45</v>
      </c>
      <c r="H12" s="1" t="s">
        <v>372</v>
      </c>
      <c r="I12" s="1" t="s">
        <v>1267</v>
      </c>
      <c r="J12">
        <v>0.67</v>
      </c>
      <c r="K12">
        <v>0</v>
      </c>
      <c r="L12">
        <v>3000</v>
      </c>
      <c r="M12">
        <v>0</v>
      </c>
      <c r="N12">
        <v>0</v>
      </c>
      <c r="O12" s="1">
        <v>3500</v>
      </c>
      <c r="P12" s="1"/>
      <c r="Q12" s="1"/>
      <c r="W12">
        <v>0</v>
      </c>
      <c r="X12" s="1" t="str">
        <f>IF(OR(Table_0[[#This Row],[Table 0 (4).Fanduel Position]]="PG",Table_0[[#This Row],[Table 0 (4).Fanduel Position.2]]="PG"),Table_0[[#This Row],[IN]],"")</f>
        <v/>
      </c>
      <c r="Y12" s="1" t="str">
        <f>IF(OR(Table_0[[#This Row],[Table 0 (4).Fanduel Position]]="SG",Table_0[[#This Row],[Table 0 (4).Fanduel Position.2]]="SG"),Table_0[[#This Row],[IN]],"")</f>
        <v/>
      </c>
      <c r="Z12" s="1" t="str">
        <f>IF(OR(Table_0[[#This Row],[Table 0 (4).Fanduel Position]]="SF",Table_0[[#This Row],[Table 0 (4).Fanduel Position.2]]="SF"),Table_0[[#This Row],[IN]],"")</f>
        <v/>
      </c>
      <c r="AA12" s="1" t="str">
        <f>IF(OR(Table_0[[#This Row],[Table 0 (4).Fanduel Position]]="PF",Table_0[[#This Row],[Table 0 (4).Fanduel Position.2]]="PF"),Table_0[[#This Row],[IN]],"")</f>
        <v/>
      </c>
      <c r="AB12" s="1" t="str">
        <f>IF(OR(Table_0[[#This Row],[Table 0 (4).Fanduel Position]]="C",Table_0[[#This Row],[Table 0 (4).Fanduel Position.2]]="C"),Table_0[[#This Row],[IN]],"")</f>
        <v/>
      </c>
      <c r="AC12" s="1"/>
      <c r="AD12"/>
      <c r="AE12"/>
      <c r="AF12"/>
      <c r="AG12" t="s">
        <v>46</v>
      </c>
      <c r="AH12">
        <f>SUMPRODUCT(W:W,K:K)</f>
        <v>266</v>
      </c>
      <c r="AI12">
        <v>0</v>
      </c>
      <c r="AL12" t="str">
        <f t="shared" si="0"/>
        <v/>
      </c>
    </row>
    <row r="13" spans="1:41" x14ac:dyDescent="0.3">
      <c r="A13" s="1" t="s">
        <v>1268</v>
      </c>
      <c r="B13" s="1" t="s">
        <v>1055</v>
      </c>
      <c r="C13" s="1" t="s">
        <v>257</v>
      </c>
      <c r="D13" s="1" t="s">
        <v>14</v>
      </c>
      <c r="E13" s="1"/>
      <c r="F13" s="3" t="s">
        <v>17</v>
      </c>
      <c r="G13">
        <v>10.89</v>
      </c>
      <c r="H13" s="1" t="s">
        <v>1269</v>
      </c>
      <c r="I13" s="1" t="s">
        <v>367</v>
      </c>
      <c r="J13">
        <v>1.03</v>
      </c>
      <c r="K13">
        <v>0</v>
      </c>
      <c r="L13">
        <v>3100</v>
      </c>
      <c r="M13">
        <v>0</v>
      </c>
      <c r="N13">
        <v>0</v>
      </c>
      <c r="O13" s="1">
        <v>3500</v>
      </c>
      <c r="P13" s="1"/>
      <c r="Q13" s="1"/>
      <c r="W13">
        <v>0</v>
      </c>
      <c r="X13" s="1" t="str">
        <f>IF(OR(Table_0[[#This Row],[Table 0 (4).Fanduel Position]]="PG",Table_0[[#This Row],[Table 0 (4).Fanduel Position.2]]="PG"),Table_0[[#This Row],[IN]],"")</f>
        <v/>
      </c>
      <c r="Y13" s="1" t="str">
        <f>IF(OR(Table_0[[#This Row],[Table 0 (4).Fanduel Position]]="SG",Table_0[[#This Row],[Table 0 (4).Fanduel Position.2]]="SG"),Table_0[[#This Row],[IN]],"")</f>
        <v/>
      </c>
      <c r="Z13" s="1" t="str">
        <f>IF(OR(Table_0[[#This Row],[Table 0 (4).Fanduel Position]]="SF",Table_0[[#This Row],[Table 0 (4).Fanduel Position.2]]="SF"),Table_0[[#This Row],[IN]],"")</f>
        <v/>
      </c>
      <c r="AA13" s="1" t="str">
        <f>IF(OR(Table_0[[#This Row],[Table 0 (4).Fanduel Position]]="PF",Table_0[[#This Row],[Table 0 (4).Fanduel Position.2]]="PF"),Table_0[[#This Row],[IN]],"")</f>
        <v/>
      </c>
      <c r="AB13" s="1" t="str">
        <f>IF(OR(Table_0[[#This Row],[Table 0 (4).Fanduel Position]]="C",Table_0[[#This Row],[Table 0 (4).Fanduel Position.2]]="C"),Table_0[[#This Row],[IN]],"")</f>
        <v/>
      </c>
      <c r="AC13" s="1"/>
      <c r="AD13"/>
      <c r="AE13"/>
      <c r="AF13"/>
      <c r="AG13"/>
      <c r="AL13" t="str">
        <f t="shared" si="0"/>
        <v/>
      </c>
    </row>
    <row r="14" spans="1:41" x14ac:dyDescent="0.3">
      <c r="A14" s="1" t="s">
        <v>1270</v>
      </c>
      <c r="B14" s="1" t="s">
        <v>1271</v>
      </c>
      <c r="C14" s="1" t="s">
        <v>401</v>
      </c>
      <c r="D14" s="1" t="s">
        <v>18</v>
      </c>
      <c r="E14" s="1"/>
      <c r="F14" s="3" t="s">
        <v>17</v>
      </c>
      <c r="G14">
        <v>0</v>
      </c>
      <c r="H14" s="1" t="s">
        <v>1272</v>
      </c>
      <c r="I14" s="1" t="s">
        <v>1273</v>
      </c>
      <c r="J14">
        <v>1.24</v>
      </c>
      <c r="K14">
        <v>0</v>
      </c>
      <c r="L14">
        <v>4900</v>
      </c>
      <c r="M14">
        <v>0</v>
      </c>
      <c r="N14">
        <v>0</v>
      </c>
      <c r="O14" s="1">
        <v>4000</v>
      </c>
      <c r="P14" s="1" t="s">
        <v>18</v>
      </c>
      <c r="Q14" s="1" t="s">
        <v>16</v>
      </c>
      <c r="R14">
        <v>27</v>
      </c>
      <c r="S14">
        <v>7</v>
      </c>
      <c r="T14">
        <v>233.5</v>
      </c>
      <c r="U14">
        <v>18.3</v>
      </c>
      <c r="V14">
        <v>4.57</v>
      </c>
      <c r="W14">
        <v>0</v>
      </c>
      <c r="X14" s="1" t="str">
        <f>IF(OR(Table_0[[#This Row],[Table 0 (4).Fanduel Position]]="PG",Table_0[[#This Row],[Table 0 (4).Fanduel Position.2]]="PG"),Table_0[[#This Row],[IN]],"")</f>
        <v/>
      </c>
      <c r="Y14" s="1" t="str">
        <f>IF(OR(Table_0[[#This Row],[Table 0 (4).Fanduel Position]]="SG",Table_0[[#This Row],[Table 0 (4).Fanduel Position.2]]="SG"),Table_0[[#This Row],[IN]],"")</f>
        <v/>
      </c>
      <c r="Z14" s="1" t="str">
        <f>IF(OR(Table_0[[#This Row],[Table 0 (4).Fanduel Position]]="SF",Table_0[[#This Row],[Table 0 (4).Fanduel Position.2]]="SF"),Table_0[[#This Row],[IN]],"")</f>
        <v/>
      </c>
      <c r="AA14" s="1">
        <f>IF(OR(Table_0[[#This Row],[Table 0 (4).Fanduel Position]]="PF",Table_0[[#This Row],[Table 0 (4).Fanduel Position.2]]="PF"),Table_0[[#This Row],[IN]],"")</f>
        <v>0</v>
      </c>
      <c r="AB14" s="1">
        <f>IF(OR(Table_0[[#This Row],[Table 0 (4).Fanduel Position]]="C",Table_0[[#This Row],[Table 0 (4).Fanduel Position.2]]="C"),Table_0[[#This Row],[IN]],"")</f>
        <v>0</v>
      </c>
      <c r="AC14" s="1"/>
      <c r="AD14"/>
      <c r="AE14"/>
      <c r="AF14"/>
      <c r="AG14"/>
      <c r="AL14" t="str">
        <f t="shared" si="0"/>
        <v/>
      </c>
    </row>
    <row r="15" spans="1:41" x14ac:dyDescent="0.3">
      <c r="A15" s="1" t="s">
        <v>1274</v>
      </c>
      <c r="B15" s="1" t="s">
        <v>960</v>
      </c>
      <c r="C15" s="1" t="s">
        <v>381</v>
      </c>
      <c r="D15" s="1" t="s">
        <v>18</v>
      </c>
      <c r="E15" s="1"/>
      <c r="F15" s="3" t="s">
        <v>38</v>
      </c>
      <c r="G15">
        <v>26.98</v>
      </c>
      <c r="H15" s="1" t="s">
        <v>1275</v>
      </c>
      <c r="I15" s="1" t="s">
        <v>1276</v>
      </c>
      <c r="J15">
        <v>1.37</v>
      </c>
      <c r="K15">
        <v>15</v>
      </c>
      <c r="L15">
        <v>5000</v>
      </c>
      <c r="M15">
        <v>23.34</v>
      </c>
      <c r="N15">
        <v>29.18</v>
      </c>
      <c r="O15" s="1">
        <v>5600</v>
      </c>
      <c r="P15" s="1" t="s">
        <v>18</v>
      </c>
      <c r="Q15" s="1"/>
      <c r="R15">
        <v>9</v>
      </c>
      <c r="S15">
        <v>-5.5</v>
      </c>
      <c r="T15">
        <v>225</v>
      </c>
      <c r="U15">
        <v>20</v>
      </c>
      <c r="V15">
        <v>3.57</v>
      </c>
      <c r="W15">
        <v>0</v>
      </c>
      <c r="X15" s="1" t="str">
        <f>IF(OR(Table_0[[#This Row],[Table 0 (4).Fanduel Position]]="PG",Table_0[[#This Row],[Table 0 (4).Fanduel Position.2]]="PG"),Table_0[[#This Row],[IN]],"")</f>
        <v/>
      </c>
      <c r="Y15" s="1" t="str">
        <f>IF(OR(Table_0[[#This Row],[Table 0 (4).Fanduel Position]]="SG",Table_0[[#This Row],[Table 0 (4).Fanduel Position.2]]="SG"),Table_0[[#This Row],[IN]],"")</f>
        <v/>
      </c>
      <c r="Z15" s="1" t="str">
        <f>IF(OR(Table_0[[#This Row],[Table 0 (4).Fanduel Position]]="SF",Table_0[[#This Row],[Table 0 (4).Fanduel Position.2]]="SF"),Table_0[[#This Row],[IN]],"")</f>
        <v/>
      </c>
      <c r="AA15" s="1" t="str">
        <f>IF(OR(Table_0[[#This Row],[Table 0 (4).Fanduel Position]]="PF",Table_0[[#This Row],[Table 0 (4).Fanduel Position.2]]="PF"),Table_0[[#This Row],[IN]],"")</f>
        <v/>
      </c>
      <c r="AB15" s="1">
        <f>IF(OR(Table_0[[#This Row],[Table 0 (4).Fanduel Position]]="C",Table_0[[#This Row],[Table 0 (4).Fanduel Position.2]]="C"),Table_0[[#This Row],[IN]],"")</f>
        <v>0</v>
      </c>
      <c r="AC15" s="1"/>
      <c r="AD15"/>
      <c r="AE15"/>
      <c r="AF15"/>
      <c r="AG15"/>
      <c r="AL15" t="str">
        <f t="shared" si="0"/>
        <v/>
      </c>
      <c r="AM15">
        <v>52.6</v>
      </c>
    </row>
    <row r="16" spans="1:41" x14ac:dyDescent="0.3">
      <c r="A16" s="1" t="s">
        <v>800</v>
      </c>
      <c r="B16" s="1" t="s">
        <v>1277</v>
      </c>
      <c r="C16" s="1" t="s">
        <v>257</v>
      </c>
      <c r="D16" s="1" t="s">
        <v>14</v>
      </c>
      <c r="E16" s="1" t="s">
        <v>16</v>
      </c>
      <c r="F16" s="3" t="s">
        <v>17</v>
      </c>
      <c r="G16">
        <v>8.35</v>
      </c>
      <c r="H16" s="1" t="s">
        <v>1278</v>
      </c>
      <c r="I16" s="1" t="s">
        <v>1279</v>
      </c>
      <c r="J16">
        <v>0.93</v>
      </c>
      <c r="K16">
        <v>0</v>
      </c>
      <c r="L16">
        <v>3000</v>
      </c>
      <c r="M16">
        <v>0</v>
      </c>
      <c r="N16">
        <v>0</v>
      </c>
      <c r="O16" s="1">
        <v>3500</v>
      </c>
      <c r="P16" s="1"/>
      <c r="Q16" s="1"/>
      <c r="W16">
        <v>0</v>
      </c>
      <c r="X16" s="1" t="str">
        <f>IF(OR(Table_0[[#This Row],[Table 0 (4).Fanduel Position]]="PG",Table_0[[#This Row],[Table 0 (4).Fanduel Position.2]]="PG"),Table_0[[#This Row],[IN]],"")</f>
        <v/>
      </c>
      <c r="Y16" s="1" t="str">
        <f>IF(OR(Table_0[[#This Row],[Table 0 (4).Fanduel Position]]="SG",Table_0[[#This Row],[Table 0 (4).Fanduel Position.2]]="SG"),Table_0[[#This Row],[IN]],"")</f>
        <v/>
      </c>
      <c r="Z16" s="1" t="str">
        <f>IF(OR(Table_0[[#This Row],[Table 0 (4).Fanduel Position]]="SF",Table_0[[#This Row],[Table 0 (4).Fanduel Position.2]]="SF"),Table_0[[#This Row],[IN]],"")</f>
        <v/>
      </c>
      <c r="AA16" s="1" t="str">
        <f>IF(OR(Table_0[[#This Row],[Table 0 (4).Fanduel Position]]="PF",Table_0[[#This Row],[Table 0 (4).Fanduel Position.2]]="PF"),Table_0[[#This Row],[IN]],"")</f>
        <v/>
      </c>
      <c r="AB16" s="1" t="str">
        <f>IF(OR(Table_0[[#This Row],[Table 0 (4).Fanduel Position]]="C",Table_0[[#This Row],[Table 0 (4).Fanduel Position.2]]="C"),Table_0[[#This Row],[IN]],"")</f>
        <v/>
      </c>
      <c r="AC16" s="1"/>
      <c r="AD16"/>
      <c r="AE16"/>
      <c r="AF16"/>
      <c r="AG16"/>
      <c r="AL16" t="str">
        <f t="shared" si="0"/>
        <v/>
      </c>
    </row>
    <row r="17" spans="1:38" x14ac:dyDescent="0.3">
      <c r="A17" s="1" t="s">
        <v>800</v>
      </c>
      <c r="B17" s="1" t="s">
        <v>1108</v>
      </c>
      <c r="C17" s="1" t="s">
        <v>408</v>
      </c>
      <c r="D17" s="1" t="s">
        <v>14</v>
      </c>
      <c r="E17" s="1"/>
      <c r="F17" s="3" t="s">
        <v>17</v>
      </c>
      <c r="G17">
        <v>17.29</v>
      </c>
      <c r="H17" s="1" t="s">
        <v>1280</v>
      </c>
      <c r="I17" s="1" t="s">
        <v>374</v>
      </c>
      <c r="J17">
        <v>0.52</v>
      </c>
      <c r="K17">
        <v>0</v>
      </c>
      <c r="L17">
        <v>3000</v>
      </c>
      <c r="M17">
        <v>0</v>
      </c>
      <c r="N17">
        <v>0</v>
      </c>
      <c r="O17" s="1">
        <v>3500</v>
      </c>
      <c r="P17" s="1"/>
      <c r="Q17" s="1"/>
      <c r="W17">
        <v>0</v>
      </c>
      <c r="X17" s="1" t="str">
        <f>IF(OR(Table_0[[#This Row],[Table 0 (4).Fanduel Position]]="PG",Table_0[[#This Row],[Table 0 (4).Fanduel Position.2]]="PG"),Table_0[[#This Row],[IN]],"")</f>
        <v/>
      </c>
      <c r="Y17" s="1" t="str">
        <f>IF(OR(Table_0[[#This Row],[Table 0 (4).Fanduel Position]]="SG",Table_0[[#This Row],[Table 0 (4).Fanduel Position.2]]="SG"),Table_0[[#This Row],[IN]],"")</f>
        <v/>
      </c>
      <c r="Z17" s="1" t="str">
        <f>IF(OR(Table_0[[#This Row],[Table 0 (4).Fanduel Position]]="SF",Table_0[[#This Row],[Table 0 (4).Fanduel Position.2]]="SF"),Table_0[[#This Row],[IN]],"")</f>
        <v/>
      </c>
      <c r="AA17" s="1" t="str">
        <f>IF(OR(Table_0[[#This Row],[Table 0 (4).Fanduel Position]]="PF",Table_0[[#This Row],[Table 0 (4).Fanduel Position.2]]="PF"),Table_0[[#This Row],[IN]],"")</f>
        <v/>
      </c>
      <c r="AB17" s="1" t="str">
        <f>IF(OR(Table_0[[#This Row],[Table 0 (4).Fanduel Position]]="C",Table_0[[#This Row],[Table 0 (4).Fanduel Position.2]]="C"),Table_0[[#This Row],[IN]],"")</f>
        <v/>
      </c>
      <c r="AC17" s="1"/>
      <c r="AD17"/>
      <c r="AE17"/>
      <c r="AF17"/>
      <c r="AG17"/>
      <c r="AL17" t="str">
        <f t="shared" si="0"/>
        <v/>
      </c>
    </row>
    <row r="18" spans="1:38" x14ac:dyDescent="0.3">
      <c r="A18" s="1" t="s">
        <v>1281</v>
      </c>
      <c r="B18" s="1" t="s">
        <v>1282</v>
      </c>
      <c r="C18" s="1" t="s">
        <v>410</v>
      </c>
      <c r="D18" s="1" t="s">
        <v>16</v>
      </c>
      <c r="E18" s="1"/>
      <c r="F18" s="3" t="s">
        <v>17</v>
      </c>
      <c r="G18">
        <v>0</v>
      </c>
      <c r="H18" s="1" t="s">
        <v>22</v>
      </c>
      <c r="I18" s="1" t="s">
        <v>1283</v>
      </c>
      <c r="J18">
        <v>0</v>
      </c>
      <c r="K18">
        <v>0</v>
      </c>
      <c r="L18">
        <v>3000</v>
      </c>
      <c r="M18">
        <v>0</v>
      </c>
      <c r="N18">
        <v>0</v>
      </c>
      <c r="O18" s="1">
        <v>100000</v>
      </c>
      <c r="P18" s="1"/>
      <c r="Q18" s="1"/>
      <c r="W18">
        <v>0</v>
      </c>
      <c r="X18" s="1" t="str">
        <f>IF(OR(Table_0[[#This Row],[Table 0 (4).Fanduel Position]]="PG",Table_0[[#This Row],[Table 0 (4).Fanduel Position.2]]="PG"),Table_0[[#This Row],[IN]],"")</f>
        <v/>
      </c>
      <c r="Y18" s="1" t="str">
        <f>IF(OR(Table_0[[#This Row],[Table 0 (4).Fanduel Position]]="SG",Table_0[[#This Row],[Table 0 (4).Fanduel Position.2]]="SG"),Table_0[[#This Row],[IN]],"")</f>
        <v/>
      </c>
      <c r="Z18" s="1" t="str">
        <f>IF(OR(Table_0[[#This Row],[Table 0 (4).Fanduel Position]]="SF",Table_0[[#This Row],[Table 0 (4).Fanduel Position.2]]="SF"),Table_0[[#This Row],[IN]],"")</f>
        <v/>
      </c>
      <c r="AA18" s="1" t="str">
        <f>IF(OR(Table_0[[#This Row],[Table 0 (4).Fanduel Position]]="PF",Table_0[[#This Row],[Table 0 (4).Fanduel Position.2]]="PF"),Table_0[[#This Row],[IN]],"")</f>
        <v/>
      </c>
      <c r="AB18" s="1" t="str">
        <f>IF(OR(Table_0[[#This Row],[Table 0 (4).Fanduel Position]]="C",Table_0[[#This Row],[Table 0 (4).Fanduel Position.2]]="C"),Table_0[[#This Row],[IN]],"")</f>
        <v/>
      </c>
      <c r="AC18" s="1"/>
      <c r="AD18"/>
      <c r="AE18"/>
      <c r="AF18"/>
      <c r="AG18"/>
      <c r="AL18" t="str">
        <f t="shared" si="0"/>
        <v/>
      </c>
    </row>
    <row r="19" spans="1:38" x14ac:dyDescent="0.3">
      <c r="A19" s="1" t="s">
        <v>1284</v>
      </c>
      <c r="B19" s="1" t="s">
        <v>1132</v>
      </c>
      <c r="C19" s="1" t="s">
        <v>401</v>
      </c>
      <c r="D19" s="1" t="s">
        <v>21</v>
      </c>
      <c r="E19" s="1" t="s">
        <v>13</v>
      </c>
      <c r="F19" s="3" t="s">
        <v>17</v>
      </c>
      <c r="G19">
        <v>26</v>
      </c>
      <c r="H19" s="1" t="s">
        <v>1285</v>
      </c>
      <c r="I19" s="1" t="s">
        <v>1286</v>
      </c>
      <c r="J19">
        <v>0.8</v>
      </c>
      <c r="K19">
        <v>0</v>
      </c>
      <c r="L19">
        <v>3600</v>
      </c>
      <c r="M19">
        <v>0</v>
      </c>
      <c r="N19">
        <v>0</v>
      </c>
      <c r="O19" s="1">
        <v>3800</v>
      </c>
      <c r="P19" s="1" t="s">
        <v>13</v>
      </c>
      <c r="Q19" s="1"/>
      <c r="R19">
        <v>9</v>
      </c>
      <c r="S19">
        <v>7</v>
      </c>
      <c r="T19">
        <v>233.5</v>
      </c>
      <c r="U19">
        <v>7.6</v>
      </c>
      <c r="V19">
        <v>2</v>
      </c>
      <c r="W19">
        <v>0</v>
      </c>
      <c r="X19" s="1" t="str">
        <f>IF(OR(Table_0[[#This Row],[Table 0 (4).Fanduel Position]]="PG",Table_0[[#This Row],[Table 0 (4).Fanduel Position.2]]="PG"),Table_0[[#This Row],[IN]],"")</f>
        <v/>
      </c>
      <c r="Y19" s="1">
        <f>IF(OR(Table_0[[#This Row],[Table 0 (4).Fanduel Position]]="SG",Table_0[[#This Row],[Table 0 (4).Fanduel Position.2]]="SG"),Table_0[[#This Row],[IN]],"")</f>
        <v>0</v>
      </c>
      <c r="Z19" s="1" t="str">
        <f>IF(OR(Table_0[[#This Row],[Table 0 (4).Fanduel Position]]="SF",Table_0[[#This Row],[Table 0 (4).Fanduel Position.2]]="SF"),Table_0[[#This Row],[IN]],"")</f>
        <v/>
      </c>
      <c r="AA19" s="1" t="str">
        <f>IF(OR(Table_0[[#This Row],[Table 0 (4).Fanduel Position]]="PF",Table_0[[#This Row],[Table 0 (4).Fanduel Position.2]]="PF"),Table_0[[#This Row],[IN]],"")</f>
        <v/>
      </c>
      <c r="AB19" s="1" t="str">
        <f>IF(OR(Table_0[[#This Row],[Table 0 (4).Fanduel Position]]="C",Table_0[[#This Row],[Table 0 (4).Fanduel Position.2]]="C"),Table_0[[#This Row],[IN]],"")</f>
        <v/>
      </c>
      <c r="AC19" s="1"/>
      <c r="AD19"/>
      <c r="AE19"/>
      <c r="AF19"/>
      <c r="AG19"/>
      <c r="AL19" t="str">
        <f t="shared" si="0"/>
        <v/>
      </c>
    </row>
    <row r="20" spans="1:38" x14ac:dyDescent="0.3">
      <c r="A20" s="1" t="s">
        <v>1287</v>
      </c>
      <c r="B20" s="1" t="s">
        <v>1288</v>
      </c>
      <c r="C20" s="1" t="s">
        <v>382</v>
      </c>
      <c r="D20" s="1" t="s">
        <v>14</v>
      </c>
      <c r="E20" s="1" t="s">
        <v>16</v>
      </c>
      <c r="F20" s="3" t="s">
        <v>17</v>
      </c>
      <c r="G20">
        <v>0</v>
      </c>
      <c r="H20" s="1" t="s">
        <v>22</v>
      </c>
      <c r="I20" s="1" t="s">
        <v>29</v>
      </c>
      <c r="J20">
        <v>0</v>
      </c>
      <c r="K20">
        <v>0</v>
      </c>
      <c r="L20">
        <v>3000</v>
      </c>
      <c r="M20">
        <v>0</v>
      </c>
      <c r="N20">
        <v>0</v>
      </c>
      <c r="O20" s="1">
        <v>3500</v>
      </c>
      <c r="P20" s="1"/>
      <c r="Q20" s="1"/>
      <c r="W20">
        <v>0</v>
      </c>
      <c r="X20" s="1" t="str">
        <f>IF(OR(Table_0[[#This Row],[Table 0 (4).Fanduel Position]]="PG",Table_0[[#This Row],[Table 0 (4).Fanduel Position.2]]="PG"),Table_0[[#This Row],[IN]],"")</f>
        <v/>
      </c>
      <c r="Y20" s="1" t="str">
        <f>IF(OR(Table_0[[#This Row],[Table 0 (4).Fanduel Position]]="SG",Table_0[[#This Row],[Table 0 (4).Fanduel Position.2]]="SG"),Table_0[[#This Row],[IN]],"")</f>
        <v/>
      </c>
      <c r="Z20" s="1" t="str">
        <f>IF(OR(Table_0[[#This Row],[Table 0 (4).Fanduel Position]]="SF",Table_0[[#This Row],[Table 0 (4).Fanduel Position.2]]="SF"),Table_0[[#This Row],[IN]],"")</f>
        <v/>
      </c>
      <c r="AA20" s="1" t="str">
        <f>IF(OR(Table_0[[#This Row],[Table 0 (4).Fanduel Position]]="PF",Table_0[[#This Row],[Table 0 (4).Fanduel Position.2]]="PF"),Table_0[[#This Row],[IN]],"")</f>
        <v/>
      </c>
      <c r="AB20" s="1" t="str">
        <f>IF(OR(Table_0[[#This Row],[Table 0 (4).Fanduel Position]]="C",Table_0[[#This Row],[Table 0 (4).Fanduel Position.2]]="C"),Table_0[[#This Row],[IN]],"")</f>
        <v/>
      </c>
      <c r="AC20" s="1"/>
      <c r="AD20"/>
      <c r="AE20"/>
      <c r="AF20"/>
      <c r="AG20"/>
      <c r="AL20" t="str">
        <f t="shared" si="0"/>
        <v/>
      </c>
    </row>
    <row r="21" spans="1:38" x14ac:dyDescent="0.3">
      <c r="A21" s="1" t="s">
        <v>275</v>
      </c>
      <c r="B21" s="1" t="s">
        <v>276</v>
      </c>
      <c r="C21" s="1" t="s">
        <v>251</v>
      </c>
      <c r="D21" s="1" t="s">
        <v>21</v>
      </c>
      <c r="E21" s="1" t="s">
        <v>13</v>
      </c>
      <c r="F21" s="3" t="s">
        <v>1262</v>
      </c>
      <c r="G21">
        <v>0</v>
      </c>
      <c r="H21" s="1" t="s">
        <v>1289</v>
      </c>
      <c r="I21" s="1" t="s">
        <v>373</v>
      </c>
      <c r="J21">
        <v>0.69</v>
      </c>
      <c r="K21">
        <v>23</v>
      </c>
      <c r="L21">
        <v>3600</v>
      </c>
      <c r="M21">
        <v>17.5</v>
      </c>
      <c r="N21">
        <v>30.38</v>
      </c>
      <c r="O21" s="1">
        <v>3800</v>
      </c>
      <c r="P21" s="1" t="s">
        <v>13</v>
      </c>
      <c r="Q21" s="1"/>
      <c r="R21">
        <v>7</v>
      </c>
      <c r="S21">
        <v>-2</v>
      </c>
      <c r="T21">
        <v>235.5</v>
      </c>
      <c r="U21">
        <v>16.2</v>
      </c>
      <c r="V21">
        <v>4.26</v>
      </c>
      <c r="W21">
        <v>0</v>
      </c>
      <c r="X21" s="1" t="str">
        <f>IF(OR(Table_0[[#This Row],[Table 0 (4).Fanduel Position]]="PG",Table_0[[#This Row],[Table 0 (4).Fanduel Position.2]]="PG"),Table_0[[#This Row],[IN]],"")</f>
        <v/>
      </c>
      <c r="Y21" s="1">
        <f>IF(OR(Table_0[[#This Row],[Table 0 (4).Fanduel Position]]="SG",Table_0[[#This Row],[Table 0 (4).Fanduel Position.2]]="SG"),Table_0[[#This Row],[IN]],"")</f>
        <v>0</v>
      </c>
      <c r="Z21" s="1" t="str">
        <f>IF(OR(Table_0[[#This Row],[Table 0 (4).Fanduel Position]]="SF",Table_0[[#This Row],[Table 0 (4).Fanduel Position.2]]="SF"),Table_0[[#This Row],[IN]],"")</f>
        <v/>
      </c>
      <c r="AA21" s="1" t="str">
        <f>IF(OR(Table_0[[#This Row],[Table 0 (4).Fanduel Position]]="PF",Table_0[[#This Row],[Table 0 (4).Fanduel Position.2]]="PF"),Table_0[[#This Row],[IN]],"")</f>
        <v/>
      </c>
      <c r="AB21" s="1" t="str">
        <f>IF(OR(Table_0[[#This Row],[Table 0 (4).Fanduel Position]]="C",Table_0[[#This Row],[Table 0 (4).Fanduel Position.2]]="C"),Table_0[[#This Row],[IN]],"")</f>
        <v/>
      </c>
      <c r="AC21" s="1"/>
      <c r="AD21"/>
      <c r="AE21"/>
      <c r="AF21"/>
      <c r="AG21"/>
      <c r="AL21" t="str">
        <f t="shared" si="0"/>
        <v/>
      </c>
    </row>
    <row r="22" spans="1:38" x14ac:dyDescent="0.3">
      <c r="A22" s="1" t="s">
        <v>1158</v>
      </c>
      <c r="B22" s="1" t="s">
        <v>1290</v>
      </c>
      <c r="C22" s="1" t="s">
        <v>381</v>
      </c>
      <c r="D22" s="1" t="s">
        <v>21</v>
      </c>
      <c r="E22" s="1"/>
      <c r="F22" s="3" t="s">
        <v>17</v>
      </c>
      <c r="G22">
        <v>32.36</v>
      </c>
      <c r="H22" s="1" t="s">
        <v>1291</v>
      </c>
      <c r="I22" s="1" t="s">
        <v>1292</v>
      </c>
      <c r="J22">
        <v>1.1200000000000001</v>
      </c>
      <c r="K22">
        <v>0</v>
      </c>
      <c r="L22">
        <v>8000</v>
      </c>
      <c r="M22">
        <v>0</v>
      </c>
      <c r="N22">
        <v>0</v>
      </c>
      <c r="O22" s="1">
        <v>7400</v>
      </c>
      <c r="P22" s="1" t="s">
        <v>21</v>
      </c>
      <c r="Q22" s="1"/>
      <c r="R22">
        <v>14</v>
      </c>
      <c r="S22">
        <v>-5.5</v>
      </c>
      <c r="T22">
        <v>225</v>
      </c>
      <c r="U22">
        <v>0</v>
      </c>
      <c r="V22">
        <v>0</v>
      </c>
      <c r="W22">
        <v>0</v>
      </c>
      <c r="X22" s="1">
        <f>IF(OR(Table_0[[#This Row],[Table 0 (4).Fanduel Position]]="PG",Table_0[[#This Row],[Table 0 (4).Fanduel Position.2]]="PG"),Table_0[[#This Row],[IN]],"")</f>
        <v>0</v>
      </c>
      <c r="Y22" s="1" t="str">
        <f>IF(OR(Table_0[[#This Row],[Table 0 (4).Fanduel Position]]="SG",Table_0[[#This Row],[Table 0 (4).Fanduel Position.2]]="SG"),Table_0[[#This Row],[IN]],"")</f>
        <v/>
      </c>
      <c r="Z22" s="1" t="str">
        <f>IF(OR(Table_0[[#This Row],[Table 0 (4).Fanduel Position]]="SF",Table_0[[#This Row],[Table 0 (4).Fanduel Position.2]]="SF"),Table_0[[#This Row],[IN]],"")</f>
        <v/>
      </c>
      <c r="AA22" s="1" t="str">
        <f>IF(OR(Table_0[[#This Row],[Table 0 (4).Fanduel Position]]="PF",Table_0[[#This Row],[Table 0 (4).Fanduel Position.2]]="PF"),Table_0[[#This Row],[IN]],"")</f>
        <v/>
      </c>
      <c r="AB22" s="1" t="str">
        <f>IF(OR(Table_0[[#This Row],[Table 0 (4).Fanduel Position]]="C",Table_0[[#This Row],[Table 0 (4).Fanduel Position.2]]="C"),Table_0[[#This Row],[IN]],"")</f>
        <v/>
      </c>
      <c r="AC22" s="1"/>
      <c r="AD22"/>
      <c r="AE22"/>
      <c r="AF22"/>
      <c r="AG22"/>
      <c r="AL22" t="str">
        <f t="shared" si="0"/>
        <v/>
      </c>
    </row>
    <row r="23" spans="1:38" x14ac:dyDescent="0.3">
      <c r="A23" s="1" t="s">
        <v>1293</v>
      </c>
      <c r="B23" s="1" t="s">
        <v>1119</v>
      </c>
      <c r="C23" s="1" t="s">
        <v>398</v>
      </c>
      <c r="D23" s="1" t="s">
        <v>18</v>
      </c>
      <c r="E23" s="1"/>
      <c r="F23" s="3" t="s">
        <v>17</v>
      </c>
      <c r="G23">
        <v>25.96</v>
      </c>
      <c r="H23" s="1" t="s">
        <v>1294</v>
      </c>
      <c r="I23" s="1" t="s">
        <v>1295</v>
      </c>
      <c r="J23">
        <v>0.88</v>
      </c>
      <c r="K23">
        <v>0</v>
      </c>
      <c r="L23">
        <v>3200</v>
      </c>
      <c r="M23">
        <v>0</v>
      </c>
      <c r="N23">
        <v>0</v>
      </c>
      <c r="O23" s="1">
        <v>3500</v>
      </c>
      <c r="P23" s="1" t="s">
        <v>16</v>
      </c>
      <c r="Q23" s="1" t="s">
        <v>18</v>
      </c>
      <c r="R23">
        <v>10</v>
      </c>
      <c r="S23">
        <v>2</v>
      </c>
      <c r="T23">
        <v>235.5</v>
      </c>
      <c r="U23">
        <v>9.6</v>
      </c>
      <c r="V23">
        <v>2.73</v>
      </c>
      <c r="W23">
        <v>0</v>
      </c>
      <c r="X23" s="1" t="str">
        <f>IF(OR(Table_0[[#This Row],[Table 0 (4).Fanduel Position]]="PG",Table_0[[#This Row],[Table 0 (4).Fanduel Position.2]]="PG"),Table_0[[#This Row],[IN]],"")</f>
        <v/>
      </c>
      <c r="Y23" s="1" t="str">
        <f>IF(OR(Table_0[[#This Row],[Table 0 (4).Fanduel Position]]="SG",Table_0[[#This Row],[Table 0 (4).Fanduel Position.2]]="SG"),Table_0[[#This Row],[IN]],"")</f>
        <v/>
      </c>
      <c r="Z23" s="1" t="str">
        <f>IF(OR(Table_0[[#This Row],[Table 0 (4).Fanduel Position]]="SF",Table_0[[#This Row],[Table 0 (4).Fanduel Position.2]]="SF"),Table_0[[#This Row],[IN]],"")</f>
        <v/>
      </c>
      <c r="AA23" s="1">
        <f>IF(OR(Table_0[[#This Row],[Table 0 (4).Fanduel Position]]="PF",Table_0[[#This Row],[Table 0 (4).Fanduel Position.2]]="PF"),Table_0[[#This Row],[IN]],"")</f>
        <v>0</v>
      </c>
      <c r="AB23" s="1">
        <f>IF(OR(Table_0[[#This Row],[Table 0 (4).Fanduel Position]]="C",Table_0[[#This Row],[Table 0 (4).Fanduel Position.2]]="C"),Table_0[[#This Row],[IN]],"")</f>
        <v>0</v>
      </c>
      <c r="AC23" s="1"/>
      <c r="AD23"/>
      <c r="AE23"/>
      <c r="AF23"/>
      <c r="AG23"/>
      <c r="AL23" t="str">
        <f t="shared" si="0"/>
        <v/>
      </c>
    </row>
    <row r="24" spans="1:38" x14ac:dyDescent="0.3">
      <c r="A24" s="1" t="s">
        <v>1296</v>
      </c>
      <c r="B24" s="1" t="s">
        <v>859</v>
      </c>
      <c r="C24" s="1" t="s">
        <v>427</v>
      </c>
      <c r="D24" s="1" t="s">
        <v>13</v>
      </c>
      <c r="E24" s="1" t="s">
        <v>14</v>
      </c>
      <c r="F24" s="3" t="s">
        <v>1297</v>
      </c>
      <c r="G24">
        <v>30.76</v>
      </c>
      <c r="H24" s="1" t="s">
        <v>1298</v>
      </c>
      <c r="I24" s="1" t="s">
        <v>1299</v>
      </c>
      <c r="J24">
        <v>0.92</v>
      </c>
      <c r="K24">
        <v>32</v>
      </c>
      <c r="L24">
        <v>5900</v>
      </c>
      <c r="M24">
        <v>32.76</v>
      </c>
      <c r="N24">
        <v>34.700000000000003</v>
      </c>
      <c r="O24" s="1">
        <v>6500</v>
      </c>
      <c r="P24" s="1" t="s">
        <v>14</v>
      </c>
      <c r="Q24" s="1" t="s">
        <v>16</v>
      </c>
      <c r="R24">
        <v>5</v>
      </c>
      <c r="S24">
        <v>-5.5</v>
      </c>
      <c r="T24">
        <v>222.5</v>
      </c>
      <c r="U24">
        <v>28</v>
      </c>
      <c r="V24">
        <v>4.3099999999999996</v>
      </c>
      <c r="W24">
        <v>0</v>
      </c>
      <c r="X24" s="1" t="str">
        <f>IF(OR(Table_0[[#This Row],[Table 0 (4).Fanduel Position]]="PG",Table_0[[#This Row],[Table 0 (4).Fanduel Position.2]]="PG"),Table_0[[#This Row],[IN]],"")</f>
        <v/>
      </c>
      <c r="Y24" s="1" t="str">
        <f>IF(OR(Table_0[[#This Row],[Table 0 (4).Fanduel Position]]="SG",Table_0[[#This Row],[Table 0 (4).Fanduel Position.2]]="SG"),Table_0[[#This Row],[IN]],"")</f>
        <v/>
      </c>
      <c r="Z24" s="1">
        <f>IF(OR(Table_0[[#This Row],[Table 0 (4).Fanduel Position]]="SF",Table_0[[#This Row],[Table 0 (4).Fanduel Position.2]]="SF"),Table_0[[#This Row],[IN]],"")</f>
        <v>0</v>
      </c>
      <c r="AA24" s="1">
        <f>IF(OR(Table_0[[#This Row],[Table 0 (4).Fanduel Position]]="PF",Table_0[[#This Row],[Table 0 (4).Fanduel Position.2]]="PF"),Table_0[[#This Row],[IN]],"")</f>
        <v>0</v>
      </c>
      <c r="AB24" s="1" t="str">
        <f>IF(OR(Table_0[[#This Row],[Table 0 (4).Fanduel Position]]="C",Table_0[[#This Row],[Table 0 (4).Fanduel Position.2]]="C"),Table_0[[#This Row],[IN]],"")</f>
        <v/>
      </c>
      <c r="AC24" s="1"/>
      <c r="AD24"/>
      <c r="AE24"/>
      <c r="AF24"/>
      <c r="AG24"/>
      <c r="AL24" t="str">
        <f t="shared" si="0"/>
        <v/>
      </c>
    </row>
    <row r="25" spans="1:38" x14ac:dyDescent="0.3">
      <c r="A25" s="1" t="s">
        <v>285</v>
      </c>
      <c r="B25" s="1" t="s">
        <v>1300</v>
      </c>
      <c r="C25" s="1" t="s">
        <v>257</v>
      </c>
      <c r="D25" s="1" t="s">
        <v>21</v>
      </c>
      <c r="E25" s="1" t="s">
        <v>13</v>
      </c>
      <c r="F25" s="3" t="s">
        <v>17</v>
      </c>
      <c r="G25">
        <v>35.200000000000003</v>
      </c>
      <c r="H25" s="1" t="s">
        <v>1301</v>
      </c>
      <c r="I25" s="1" t="s">
        <v>1292</v>
      </c>
      <c r="J25">
        <v>1.1599999999999999</v>
      </c>
      <c r="K25">
        <v>0</v>
      </c>
      <c r="L25">
        <v>9200</v>
      </c>
      <c r="M25">
        <v>0</v>
      </c>
      <c r="N25">
        <v>0</v>
      </c>
      <c r="O25" s="1">
        <v>9500</v>
      </c>
      <c r="P25" s="1" t="s">
        <v>13</v>
      </c>
      <c r="Q25" s="1"/>
      <c r="R25">
        <v>23</v>
      </c>
      <c r="S25">
        <v>-6</v>
      </c>
      <c r="T25">
        <v>213</v>
      </c>
      <c r="U25">
        <v>0</v>
      </c>
      <c r="V25">
        <v>0</v>
      </c>
      <c r="W25">
        <v>0</v>
      </c>
      <c r="X25" s="1" t="str">
        <f>IF(OR(Table_0[[#This Row],[Table 0 (4).Fanduel Position]]="PG",Table_0[[#This Row],[Table 0 (4).Fanduel Position.2]]="PG"),Table_0[[#This Row],[IN]],"")</f>
        <v/>
      </c>
      <c r="Y25" s="1">
        <f>IF(OR(Table_0[[#This Row],[Table 0 (4).Fanduel Position]]="SG",Table_0[[#This Row],[Table 0 (4).Fanduel Position.2]]="SG"),Table_0[[#This Row],[IN]],"")</f>
        <v>0</v>
      </c>
      <c r="Z25" s="1" t="str">
        <f>IF(OR(Table_0[[#This Row],[Table 0 (4).Fanduel Position]]="SF",Table_0[[#This Row],[Table 0 (4).Fanduel Position.2]]="SF"),Table_0[[#This Row],[IN]],"")</f>
        <v/>
      </c>
      <c r="AA25" s="1" t="str">
        <f>IF(OR(Table_0[[#This Row],[Table 0 (4).Fanduel Position]]="PF",Table_0[[#This Row],[Table 0 (4).Fanduel Position.2]]="PF"),Table_0[[#This Row],[IN]],"")</f>
        <v/>
      </c>
      <c r="AB25" s="1" t="str">
        <f>IF(OR(Table_0[[#This Row],[Table 0 (4).Fanduel Position]]="C",Table_0[[#This Row],[Table 0 (4).Fanduel Position.2]]="C"),Table_0[[#This Row],[IN]],"")</f>
        <v/>
      </c>
      <c r="AC25" s="1"/>
      <c r="AD25"/>
      <c r="AE25"/>
      <c r="AF25"/>
      <c r="AG25"/>
      <c r="AL25" t="str">
        <f t="shared" si="0"/>
        <v/>
      </c>
    </row>
    <row r="26" spans="1:38" x14ac:dyDescent="0.3">
      <c r="A26" s="1" t="s">
        <v>1302</v>
      </c>
      <c r="B26" s="1" t="s">
        <v>1303</v>
      </c>
      <c r="C26" s="1" t="s">
        <v>428</v>
      </c>
      <c r="D26" s="1" t="s">
        <v>21</v>
      </c>
      <c r="E26" s="1" t="s">
        <v>13</v>
      </c>
      <c r="F26" s="3" t="s">
        <v>17</v>
      </c>
      <c r="G26">
        <v>13.17</v>
      </c>
      <c r="H26" s="1" t="s">
        <v>1304</v>
      </c>
      <c r="I26" s="1" t="s">
        <v>26</v>
      </c>
      <c r="J26">
        <v>0.88</v>
      </c>
      <c r="K26">
        <v>0</v>
      </c>
      <c r="L26">
        <v>3000</v>
      </c>
      <c r="M26">
        <v>0</v>
      </c>
      <c r="N26">
        <v>0</v>
      </c>
      <c r="O26" s="1">
        <v>3600</v>
      </c>
      <c r="P26" s="1"/>
      <c r="Q26" s="1"/>
      <c r="W26">
        <v>0</v>
      </c>
      <c r="X26" s="1" t="str">
        <f>IF(OR(Table_0[[#This Row],[Table 0 (4).Fanduel Position]]="PG",Table_0[[#This Row],[Table 0 (4).Fanduel Position.2]]="PG"),Table_0[[#This Row],[IN]],"")</f>
        <v/>
      </c>
      <c r="Y26" s="1" t="str">
        <f>IF(OR(Table_0[[#This Row],[Table 0 (4).Fanduel Position]]="SG",Table_0[[#This Row],[Table 0 (4).Fanduel Position.2]]="SG"),Table_0[[#This Row],[IN]],"")</f>
        <v/>
      </c>
      <c r="Z26" s="1" t="str">
        <f>IF(OR(Table_0[[#This Row],[Table 0 (4).Fanduel Position]]="SF",Table_0[[#This Row],[Table 0 (4).Fanduel Position.2]]="SF"),Table_0[[#This Row],[IN]],"")</f>
        <v/>
      </c>
      <c r="AA26" s="1" t="str">
        <f>IF(OR(Table_0[[#This Row],[Table 0 (4).Fanduel Position]]="PF",Table_0[[#This Row],[Table 0 (4).Fanduel Position.2]]="PF"),Table_0[[#This Row],[IN]],"")</f>
        <v/>
      </c>
      <c r="AB26" s="1" t="str">
        <f>IF(OR(Table_0[[#This Row],[Table 0 (4).Fanduel Position]]="C",Table_0[[#This Row],[Table 0 (4).Fanduel Position.2]]="C"),Table_0[[#This Row],[IN]],"")</f>
        <v/>
      </c>
      <c r="AC26" s="1"/>
      <c r="AD26"/>
      <c r="AE26"/>
      <c r="AF26"/>
      <c r="AG26"/>
      <c r="AL26" t="str">
        <f t="shared" si="0"/>
        <v/>
      </c>
    </row>
    <row r="27" spans="1:38" x14ac:dyDescent="0.3">
      <c r="A27" s="1" t="s">
        <v>1305</v>
      </c>
      <c r="B27" s="1" t="s">
        <v>1306</v>
      </c>
      <c r="C27" s="1" t="s">
        <v>381</v>
      </c>
      <c r="D27" s="1" t="s">
        <v>16</v>
      </c>
      <c r="E27" s="1"/>
      <c r="F27" s="3" t="s">
        <v>237</v>
      </c>
      <c r="G27">
        <v>0</v>
      </c>
      <c r="H27" s="1" t="s">
        <v>22</v>
      </c>
      <c r="I27" s="1" t="s">
        <v>1307</v>
      </c>
      <c r="J27">
        <v>0</v>
      </c>
      <c r="K27">
        <v>2</v>
      </c>
      <c r="L27">
        <v>3000</v>
      </c>
      <c r="M27">
        <v>1.56</v>
      </c>
      <c r="N27">
        <v>3.25</v>
      </c>
      <c r="O27" s="1">
        <v>100000</v>
      </c>
      <c r="P27" s="1"/>
      <c r="Q27" s="1"/>
      <c r="W27">
        <v>0</v>
      </c>
      <c r="X27" s="1" t="str">
        <f>IF(OR(Table_0[[#This Row],[Table 0 (4).Fanduel Position]]="PG",Table_0[[#This Row],[Table 0 (4).Fanduel Position.2]]="PG"),Table_0[[#This Row],[IN]],"")</f>
        <v/>
      </c>
      <c r="Y27" s="1" t="str">
        <f>IF(OR(Table_0[[#This Row],[Table 0 (4).Fanduel Position]]="SG",Table_0[[#This Row],[Table 0 (4).Fanduel Position.2]]="SG"),Table_0[[#This Row],[IN]],"")</f>
        <v/>
      </c>
      <c r="Z27" s="1" t="str">
        <f>IF(OR(Table_0[[#This Row],[Table 0 (4).Fanduel Position]]="SF",Table_0[[#This Row],[Table 0 (4).Fanduel Position.2]]="SF"),Table_0[[#This Row],[IN]],"")</f>
        <v/>
      </c>
      <c r="AA27" s="1" t="str">
        <f>IF(OR(Table_0[[#This Row],[Table 0 (4).Fanduel Position]]="PF",Table_0[[#This Row],[Table 0 (4).Fanduel Position.2]]="PF"),Table_0[[#This Row],[IN]],"")</f>
        <v/>
      </c>
      <c r="AB27" s="1" t="str">
        <f>IF(OR(Table_0[[#This Row],[Table 0 (4).Fanduel Position]]="C",Table_0[[#This Row],[Table 0 (4).Fanduel Position.2]]="C"),Table_0[[#This Row],[IN]],"")</f>
        <v/>
      </c>
      <c r="AC27" s="1"/>
      <c r="AD27"/>
      <c r="AE27"/>
      <c r="AF27"/>
      <c r="AG27"/>
      <c r="AL27" t="str">
        <f t="shared" si="0"/>
        <v/>
      </c>
    </row>
    <row r="28" spans="1:38" x14ac:dyDescent="0.3">
      <c r="A28" s="1" t="s">
        <v>1308</v>
      </c>
      <c r="B28" s="1" t="s">
        <v>288</v>
      </c>
      <c r="C28" s="1" t="s">
        <v>385</v>
      </c>
      <c r="D28" s="1" t="s">
        <v>21</v>
      </c>
      <c r="E28" s="1"/>
      <c r="F28" s="3" t="s">
        <v>17</v>
      </c>
      <c r="G28">
        <v>12.47</v>
      </c>
      <c r="H28" s="1" t="s">
        <v>1309</v>
      </c>
      <c r="I28" s="1" t="s">
        <v>377</v>
      </c>
      <c r="J28">
        <v>0.57999999999999996</v>
      </c>
      <c r="K28">
        <v>0</v>
      </c>
      <c r="L28">
        <v>3000</v>
      </c>
      <c r="M28">
        <v>0</v>
      </c>
      <c r="N28">
        <v>0</v>
      </c>
      <c r="O28" s="1">
        <v>3500</v>
      </c>
      <c r="P28" s="1"/>
      <c r="Q28" s="1"/>
      <c r="W28">
        <v>0</v>
      </c>
      <c r="X28" s="1" t="str">
        <f>IF(OR(Table_0[[#This Row],[Table 0 (4).Fanduel Position]]="PG",Table_0[[#This Row],[Table 0 (4).Fanduel Position.2]]="PG"),Table_0[[#This Row],[IN]],"")</f>
        <v/>
      </c>
      <c r="Y28" s="1" t="str">
        <f>IF(OR(Table_0[[#This Row],[Table 0 (4).Fanduel Position]]="SG",Table_0[[#This Row],[Table 0 (4).Fanduel Position.2]]="SG"),Table_0[[#This Row],[IN]],"")</f>
        <v/>
      </c>
      <c r="Z28" s="1" t="str">
        <f>IF(OR(Table_0[[#This Row],[Table 0 (4).Fanduel Position]]="SF",Table_0[[#This Row],[Table 0 (4).Fanduel Position.2]]="SF"),Table_0[[#This Row],[IN]],"")</f>
        <v/>
      </c>
      <c r="AA28" s="1" t="str">
        <f>IF(OR(Table_0[[#This Row],[Table 0 (4).Fanduel Position]]="PF",Table_0[[#This Row],[Table 0 (4).Fanduel Position.2]]="PF"),Table_0[[#This Row],[IN]],"")</f>
        <v/>
      </c>
      <c r="AB28" s="1" t="str">
        <f>IF(OR(Table_0[[#This Row],[Table 0 (4).Fanduel Position]]="C",Table_0[[#This Row],[Table 0 (4).Fanduel Position.2]]="C"),Table_0[[#This Row],[IN]],"")</f>
        <v/>
      </c>
      <c r="AC28" s="1"/>
      <c r="AD28"/>
      <c r="AE28"/>
      <c r="AF28"/>
      <c r="AG28"/>
      <c r="AL28" t="str">
        <f t="shared" si="0"/>
        <v/>
      </c>
    </row>
    <row r="29" spans="1:38" x14ac:dyDescent="0.3">
      <c r="A29" s="1" t="s">
        <v>1310</v>
      </c>
      <c r="B29" s="1" t="s">
        <v>134</v>
      </c>
      <c r="C29" s="1" t="s">
        <v>398</v>
      </c>
      <c r="D29" s="1" t="s">
        <v>14</v>
      </c>
      <c r="E29" s="1" t="s">
        <v>16</v>
      </c>
      <c r="F29" s="3" t="s">
        <v>17</v>
      </c>
      <c r="G29">
        <v>22.29</v>
      </c>
      <c r="H29" s="1" t="s">
        <v>34</v>
      </c>
      <c r="I29" s="1" t="s">
        <v>1311</v>
      </c>
      <c r="J29">
        <v>0.8</v>
      </c>
      <c r="K29">
        <v>0</v>
      </c>
      <c r="L29">
        <v>3900</v>
      </c>
      <c r="M29">
        <v>0</v>
      </c>
      <c r="N29">
        <v>0</v>
      </c>
      <c r="O29" s="1">
        <v>4500</v>
      </c>
      <c r="P29" s="1"/>
      <c r="Q29" s="1"/>
      <c r="W29">
        <v>0</v>
      </c>
      <c r="X29" s="1" t="str">
        <f>IF(OR(Table_0[[#This Row],[Table 0 (4).Fanduel Position]]="PG",Table_0[[#This Row],[Table 0 (4).Fanduel Position.2]]="PG"),Table_0[[#This Row],[IN]],"")</f>
        <v/>
      </c>
      <c r="Y29" s="1" t="str">
        <f>IF(OR(Table_0[[#This Row],[Table 0 (4).Fanduel Position]]="SG",Table_0[[#This Row],[Table 0 (4).Fanduel Position.2]]="SG"),Table_0[[#This Row],[IN]],"")</f>
        <v/>
      </c>
      <c r="Z29" s="1" t="str">
        <f>IF(OR(Table_0[[#This Row],[Table 0 (4).Fanduel Position]]="SF",Table_0[[#This Row],[Table 0 (4).Fanduel Position.2]]="SF"),Table_0[[#This Row],[IN]],"")</f>
        <v/>
      </c>
      <c r="AA29" s="1" t="str">
        <f>IF(OR(Table_0[[#This Row],[Table 0 (4).Fanduel Position]]="PF",Table_0[[#This Row],[Table 0 (4).Fanduel Position.2]]="PF"),Table_0[[#This Row],[IN]],"")</f>
        <v/>
      </c>
      <c r="AB29" s="1" t="str">
        <f>IF(OR(Table_0[[#This Row],[Table 0 (4).Fanduel Position]]="C",Table_0[[#This Row],[Table 0 (4).Fanduel Position.2]]="C"),Table_0[[#This Row],[IN]],"")</f>
        <v/>
      </c>
      <c r="AC29" s="1"/>
      <c r="AD29"/>
      <c r="AE29"/>
      <c r="AF29"/>
      <c r="AG29"/>
      <c r="AL29" t="str">
        <f t="shared" si="0"/>
        <v/>
      </c>
    </row>
    <row r="30" spans="1:38" x14ac:dyDescent="0.3">
      <c r="A30" s="1" t="s">
        <v>1312</v>
      </c>
      <c r="B30" s="1" t="s">
        <v>1313</v>
      </c>
      <c r="C30" s="1" t="s">
        <v>385</v>
      </c>
      <c r="D30" s="1" t="s">
        <v>16</v>
      </c>
      <c r="E30" s="1" t="s">
        <v>18</v>
      </c>
      <c r="F30" s="3" t="s">
        <v>17</v>
      </c>
      <c r="G30">
        <v>6.82</v>
      </c>
      <c r="H30" s="1" t="s">
        <v>1314</v>
      </c>
      <c r="I30" s="1" t="s">
        <v>1307</v>
      </c>
      <c r="J30">
        <v>0.74</v>
      </c>
      <c r="K30">
        <v>0</v>
      </c>
      <c r="L30">
        <v>3000</v>
      </c>
      <c r="M30">
        <v>0</v>
      </c>
      <c r="N30">
        <v>0</v>
      </c>
      <c r="O30" s="1">
        <v>3500</v>
      </c>
      <c r="P30" s="1"/>
      <c r="Q30" s="1"/>
      <c r="W30">
        <v>0</v>
      </c>
      <c r="X30" s="1" t="str">
        <f>IF(OR(Table_0[[#This Row],[Table 0 (4).Fanduel Position]]="PG",Table_0[[#This Row],[Table 0 (4).Fanduel Position.2]]="PG"),Table_0[[#This Row],[IN]],"")</f>
        <v/>
      </c>
      <c r="Y30" s="1" t="str">
        <f>IF(OR(Table_0[[#This Row],[Table 0 (4).Fanduel Position]]="SG",Table_0[[#This Row],[Table 0 (4).Fanduel Position.2]]="SG"),Table_0[[#This Row],[IN]],"")</f>
        <v/>
      </c>
      <c r="Z30" s="1" t="str">
        <f>IF(OR(Table_0[[#This Row],[Table 0 (4).Fanduel Position]]="SF",Table_0[[#This Row],[Table 0 (4).Fanduel Position.2]]="SF"),Table_0[[#This Row],[IN]],"")</f>
        <v/>
      </c>
      <c r="AA30" s="1" t="str">
        <f>IF(OR(Table_0[[#This Row],[Table 0 (4).Fanduel Position]]="PF",Table_0[[#This Row],[Table 0 (4).Fanduel Position.2]]="PF"),Table_0[[#This Row],[IN]],"")</f>
        <v/>
      </c>
      <c r="AB30" s="1" t="str">
        <f>IF(OR(Table_0[[#This Row],[Table 0 (4).Fanduel Position]]="C",Table_0[[#This Row],[Table 0 (4).Fanduel Position.2]]="C"),Table_0[[#This Row],[IN]],"")</f>
        <v/>
      </c>
      <c r="AC30" s="1"/>
      <c r="AD30"/>
      <c r="AE30"/>
      <c r="AF30"/>
      <c r="AG30"/>
      <c r="AL30" t="str">
        <f t="shared" si="0"/>
        <v/>
      </c>
    </row>
    <row r="31" spans="1:38" x14ac:dyDescent="0.3">
      <c r="A31" s="1" t="s">
        <v>1065</v>
      </c>
      <c r="B31" s="1" t="s">
        <v>1066</v>
      </c>
      <c r="C31" s="1" t="s">
        <v>408</v>
      </c>
      <c r="D31" s="1" t="s">
        <v>13</v>
      </c>
      <c r="E31" s="1"/>
      <c r="F31" s="3" t="s">
        <v>38</v>
      </c>
      <c r="G31">
        <v>19.39</v>
      </c>
      <c r="H31" s="1" t="s">
        <v>1315</v>
      </c>
      <c r="I31" s="1" t="s">
        <v>28</v>
      </c>
      <c r="J31">
        <v>0.84</v>
      </c>
      <c r="K31">
        <v>15</v>
      </c>
      <c r="L31">
        <v>3600</v>
      </c>
      <c r="M31">
        <v>17.52</v>
      </c>
      <c r="N31">
        <v>30.42</v>
      </c>
      <c r="O31" s="1">
        <v>4400</v>
      </c>
      <c r="P31" s="1" t="s">
        <v>13</v>
      </c>
      <c r="Q31" s="1"/>
      <c r="R31">
        <v>30</v>
      </c>
      <c r="S31">
        <v>-7</v>
      </c>
      <c r="T31">
        <v>233.5</v>
      </c>
      <c r="U31">
        <v>13.7</v>
      </c>
      <c r="V31">
        <v>3.12</v>
      </c>
      <c r="W31">
        <v>0</v>
      </c>
      <c r="X31" s="1" t="str">
        <f>IF(OR(Table_0[[#This Row],[Table 0 (4).Fanduel Position]]="PG",Table_0[[#This Row],[Table 0 (4).Fanduel Position.2]]="PG"),Table_0[[#This Row],[IN]],"")</f>
        <v/>
      </c>
      <c r="Y31" s="1">
        <f>IF(OR(Table_0[[#This Row],[Table 0 (4).Fanduel Position]]="SG",Table_0[[#This Row],[Table 0 (4).Fanduel Position.2]]="SG"),Table_0[[#This Row],[IN]],"")</f>
        <v>0</v>
      </c>
      <c r="Z31" s="1" t="str">
        <f>IF(OR(Table_0[[#This Row],[Table 0 (4).Fanduel Position]]="SF",Table_0[[#This Row],[Table 0 (4).Fanduel Position.2]]="SF"),Table_0[[#This Row],[IN]],"")</f>
        <v/>
      </c>
      <c r="AA31" s="1" t="str">
        <f>IF(OR(Table_0[[#This Row],[Table 0 (4).Fanduel Position]]="PF",Table_0[[#This Row],[Table 0 (4).Fanduel Position.2]]="PF"),Table_0[[#This Row],[IN]],"")</f>
        <v/>
      </c>
      <c r="AB31" s="1" t="str">
        <f>IF(OR(Table_0[[#This Row],[Table 0 (4).Fanduel Position]]="C",Table_0[[#This Row],[Table 0 (4).Fanduel Position.2]]="C"),Table_0[[#This Row],[IN]],"")</f>
        <v/>
      </c>
      <c r="AC31" s="1"/>
      <c r="AD31"/>
      <c r="AE31"/>
      <c r="AF31"/>
      <c r="AG31"/>
      <c r="AL31" t="str">
        <f t="shared" si="0"/>
        <v/>
      </c>
    </row>
    <row r="32" spans="1:38" x14ac:dyDescent="0.3">
      <c r="A32" s="1" t="s">
        <v>1316</v>
      </c>
      <c r="B32" s="1" t="s">
        <v>884</v>
      </c>
      <c r="C32" s="1" t="s">
        <v>388</v>
      </c>
      <c r="D32" s="1" t="s">
        <v>13</v>
      </c>
      <c r="E32" s="1" t="s">
        <v>14</v>
      </c>
      <c r="F32" s="3" t="s">
        <v>1251</v>
      </c>
      <c r="G32">
        <v>34.25</v>
      </c>
      <c r="H32" s="1" t="s">
        <v>1317</v>
      </c>
      <c r="I32" s="1" t="s">
        <v>1318</v>
      </c>
      <c r="J32">
        <v>0.94</v>
      </c>
      <c r="K32">
        <v>27</v>
      </c>
      <c r="L32">
        <v>5600</v>
      </c>
      <c r="M32">
        <v>28.67</v>
      </c>
      <c r="N32">
        <v>32</v>
      </c>
      <c r="O32" s="1">
        <v>5100</v>
      </c>
      <c r="P32" s="1" t="s">
        <v>13</v>
      </c>
      <c r="Q32" s="1" t="s">
        <v>14</v>
      </c>
      <c r="R32">
        <v>25</v>
      </c>
      <c r="S32">
        <v>4</v>
      </c>
      <c r="T32">
        <v>231</v>
      </c>
      <c r="U32">
        <v>25.3</v>
      </c>
      <c r="V32">
        <v>4.96</v>
      </c>
      <c r="W32">
        <v>0</v>
      </c>
      <c r="X32" s="1" t="str">
        <f>IF(OR(Table_0[[#This Row],[Table 0 (4).Fanduel Position]]="PG",Table_0[[#This Row],[Table 0 (4).Fanduel Position.2]]="PG"),Table_0[[#This Row],[IN]],"")</f>
        <v/>
      </c>
      <c r="Y32" s="1">
        <f>IF(OR(Table_0[[#This Row],[Table 0 (4).Fanduel Position]]="SG",Table_0[[#This Row],[Table 0 (4).Fanduel Position.2]]="SG"),Table_0[[#This Row],[IN]],"")</f>
        <v>0</v>
      </c>
      <c r="Z32" s="1">
        <f>IF(OR(Table_0[[#This Row],[Table 0 (4).Fanduel Position]]="SF",Table_0[[#This Row],[Table 0 (4).Fanduel Position.2]]="SF"),Table_0[[#This Row],[IN]],"")</f>
        <v>0</v>
      </c>
      <c r="AA32" s="1" t="str">
        <f>IF(OR(Table_0[[#This Row],[Table 0 (4).Fanduel Position]]="PF",Table_0[[#This Row],[Table 0 (4).Fanduel Position.2]]="PF"),Table_0[[#This Row],[IN]],"")</f>
        <v/>
      </c>
      <c r="AB32" s="1" t="str">
        <f>IF(OR(Table_0[[#This Row],[Table 0 (4).Fanduel Position]]="C",Table_0[[#This Row],[Table 0 (4).Fanduel Position.2]]="C"),Table_0[[#This Row],[IN]],"")</f>
        <v/>
      </c>
      <c r="AC32" s="1"/>
      <c r="AD32"/>
      <c r="AE32"/>
      <c r="AF32"/>
      <c r="AG32"/>
      <c r="AL32" t="str">
        <f t="shared" si="0"/>
        <v/>
      </c>
    </row>
    <row r="33" spans="1:45" x14ac:dyDescent="0.3">
      <c r="A33" s="1" t="s">
        <v>1319</v>
      </c>
      <c r="B33" s="1" t="s">
        <v>1320</v>
      </c>
      <c r="C33" s="1" t="s">
        <v>385</v>
      </c>
      <c r="D33" s="1" t="s">
        <v>14</v>
      </c>
      <c r="E33" s="1"/>
      <c r="F33" s="3" t="s">
        <v>376</v>
      </c>
      <c r="G33">
        <v>16.100000000000001</v>
      </c>
      <c r="H33" s="1" t="s">
        <v>1321</v>
      </c>
      <c r="I33" s="1" t="s">
        <v>1322</v>
      </c>
      <c r="J33">
        <v>0.78</v>
      </c>
      <c r="K33">
        <v>1</v>
      </c>
      <c r="L33">
        <v>3000</v>
      </c>
      <c r="M33">
        <v>0.76</v>
      </c>
      <c r="N33">
        <v>1.58</v>
      </c>
      <c r="O33" s="1">
        <v>3500</v>
      </c>
      <c r="P33" s="1"/>
      <c r="Q33" s="1"/>
      <c r="W33">
        <v>0</v>
      </c>
      <c r="X33" s="1" t="str">
        <f>IF(OR(Table_0[[#This Row],[Table 0 (4).Fanduel Position]]="PG",Table_0[[#This Row],[Table 0 (4).Fanduel Position.2]]="PG"),Table_0[[#This Row],[IN]],"")</f>
        <v/>
      </c>
      <c r="Y33" s="1" t="str">
        <f>IF(OR(Table_0[[#This Row],[Table 0 (4).Fanduel Position]]="SG",Table_0[[#This Row],[Table 0 (4).Fanduel Position.2]]="SG"),Table_0[[#This Row],[IN]],"")</f>
        <v/>
      </c>
      <c r="Z33" s="1" t="str">
        <f>IF(OR(Table_0[[#This Row],[Table 0 (4).Fanduel Position]]="SF",Table_0[[#This Row],[Table 0 (4).Fanduel Position.2]]="SF"),Table_0[[#This Row],[IN]],"")</f>
        <v/>
      </c>
      <c r="AA33" s="1" t="str">
        <f>IF(OR(Table_0[[#This Row],[Table 0 (4).Fanduel Position]]="PF",Table_0[[#This Row],[Table 0 (4).Fanduel Position.2]]="PF"),Table_0[[#This Row],[IN]],"")</f>
        <v/>
      </c>
      <c r="AB33" s="1" t="str">
        <f>IF(OR(Table_0[[#This Row],[Table 0 (4).Fanduel Position]]="C",Table_0[[#This Row],[Table 0 (4).Fanduel Position.2]]="C"),Table_0[[#This Row],[IN]],"")</f>
        <v/>
      </c>
      <c r="AC33" s="1"/>
      <c r="AD33"/>
      <c r="AE33"/>
      <c r="AF33"/>
      <c r="AG33"/>
      <c r="AL33" t="str">
        <f t="shared" si="0"/>
        <v/>
      </c>
    </row>
    <row r="34" spans="1:45" x14ac:dyDescent="0.3">
      <c r="A34" s="1" t="s">
        <v>1323</v>
      </c>
      <c r="B34" s="1" t="s">
        <v>1324</v>
      </c>
      <c r="C34" s="1" t="s">
        <v>392</v>
      </c>
      <c r="D34" s="1" t="s">
        <v>21</v>
      </c>
      <c r="E34" s="1" t="s">
        <v>13</v>
      </c>
      <c r="F34" s="3" t="s">
        <v>1325</v>
      </c>
      <c r="G34">
        <v>31.6</v>
      </c>
      <c r="H34" s="1" t="s">
        <v>1326</v>
      </c>
      <c r="I34" s="1" t="s">
        <v>1327</v>
      </c>
      <c r="J34">
        <v>1.03</v>
      </c>
      <c r="K34">
        <v>31</v>
      </c>
      <c r="L34">
        <v>8600</v>
      </c>
      <c r="M34">
        <v>39.979999999999997</v>
      </c>
      <c r="N34">
        <v>29.06</v>
      </c>
      <c r="O34" s="1">
        <v>9100</v>
      </c>
      <c r="P34" s="1" t="s">
        <v>13</v>
      </c>
      <c r="Q34" s="1" t="s">
        <v>14</v>
      </c>
      <c r="R34">
        <v>1</v>
      </c>
      <c r="S34">
        <v>2</v>
      </c>
      <c r="T34">
        <v>211</v>
      </c>
      <c r="U34">
        <v>32.9</v>
      </c>
      <c r="V34">
        <v>3.62</v>
      </c>
      <c r="W34">
        <v>0</v>
      </c>
      <c r="X34" s="1" t="str">
        <f>IF(OR(Table_0[[#This Row],[Table 0 (4).Fanduel Position]]="PG",Table_0[[#This Row],[Table 0 (4).Fanduel Position.2]]="PG"),Table_0[[#This Row],[IN]],"")</f>
        <v/>
      </c>
      <c r="Y34" s="1">
        <f>IF(OR(Table_0[[#This Row],[Table 0 (4).Fanduel Position]]="SG",Table_0[[#This Row],[Table 0 (4).Fanduel Position.2]]="SG"),Table_0[[#This Row],[IN]],"")</f>
        <v>0</v>
      </c>
      <c r="Z34" s="1">
        <f>IF(OR(Table_0[[#This Row],[Table 0 (4).Fanduel Position]]="SF",Table_0[[#This Row],[Table 0 (4).Fanduel Position.2]]="SF"),Table_0[[#This Row],[IN]],"")</f>
        <v>0</v>
      </c>
      <c r="AA34" s="1" t="str">
        <f>IF(OR(Table_0[[#This Row],[Table 0 (4).Fanduel Position]]="PF",Table_0[[#This Row],[Table 0 (4).Fanduel Position.2]]="PF"),Table_0[[#This Row],[IN]],"")</f>
        <v/>
      </c>
      <c r="AB34" s="1" t="str">
        <f>IF(OR(Table_0[[#This Row],[Table 0 (4).Fanduel Position]]="C",Table_0[[#This Row],[Table 0 (4).Fanduel Position.2]]="C"),Table_0[[#This Row],[IN]],"")</f>
        <v/>
      </c>
      <c r="AC34" s="1"/>
      <c r="AD34"/>
      <c r="AE34"/>
      <c r="AF34"/>
      <c r="AG34"/>
      <c r="AL34" t="str">
        <f t="shared" si="0"/>
        <v/>
      </c>
    </row>
    <row r="35" spans="1:45" x14ac:dyDescent="0.3">
      <c r="A35" s="1" t="s">
        <v>361</v>
      </c>
      <c r="B35" s="1" t="s">
        <v>1328</v>
      </c>
      <c r="C35" s="1" t="s">
        <v>257</v>
      </c>
      <c r="D35" s="1" t="s">
        <v>21</v>
      </c>
      <c r="E35" s="1"/>
      <c r="F35" s="3" t="s">
        <v>17</v>
      </c>
      <c r="G35">
        <v>4.45</v>
      </c>
      <c r="H35" s="1" t="s">
        <v>1329</v>
      </c>
      <c r="I35" s="1" t="s">
        <v>1330</v>
      </c>
      <c r="J35">
        <v>0.75</v>
      </c>
      <c r="K35">
        <v>0</v>
      </c>
      <c r="L35">
        <v>3000</v>
      </c>
      <c r="M35">
        <v>0</v>
      </c>
      <c r="N35">
        <v>0</v>
      </c>
      <c r="O35" s="1">
        <v>3500</v>
      </c>
      <c r="P35" s="1"/>
      <c r="Q35" s="1"/>
      <c r="W35">
        <v>0</v>
      </c>
      <c r="X35" s="1" t="str">
        <f>IF(OR(Table_0[[#This Row],[Table 0 (4).Fanduel Position]]="PG",Table_0[[#This Row],[Table 0 (4).Fanduel Position.2]]="PG"),Table_0[[#This Row],[IN]],"")</f>
        <v/>
      </c>
      <c r="Y35" s="1" t="str">
        <f>IF(OR(Table_0[[#This Row],[Table 0 (4).Fanduel Position]]="SG",Table_0[[#This Row],[Table 0 (4).Fanduel Position.2]]="SG"),Table_0[[#This Row],[IN]],"")</f>
        <v/>
      </c>
      <c r="Z35" s="1" t="str">
        <f>IF(OR(Table_0[[#This Row],[Table 0 (4).Fanduel Position]]="SF",Table_0[[#This Row],[Table 0 (4).Fanduel Position.2]]="SF"),Table_0[[#This Row],[IN]],"")</f>
        <v/>
      </c>
      <c r="AA35" s="1" t="str">
        <f>IF(OR(Table_0[[#This Row],[Table 0 (4).Fanduel Position]]="PF",Table_0[[#This Row],[Table 0 (4).Fanduel Position.2]]="PF"),Table_0[[#This Row],[IN]],"")</f>
        <v/>
      </c>
      <c r="AB35" s="1" t="str">
        <f>IF(OR(Table_0[[#This Row],[Table 0 (4).Fanduel Position]]="C",Table_0[[#This Row],[Table 0 (4).Fanduel Position.2]]="C"),Table_0[[#This Row],[IN]],"")</f>
        <v/>
      </c>
      <c r="AC35" s="1"/>
      <c r="AD35"/>
      <c r="AE35"/>
      <c r="AF35"/>
      <c r="AG35"/>
      <c r="AL35" t="str">
        <f t="shared" si="0"/>
        <v/>
      </c>
    </row>
    <row r="36" spans="1:45" x14ac:dyDescent="0.3">
      <c r="A36" s="1" t="s">
        <v>926</v>
      </c>
      <c r="B36" s="1" t="s">
        <v>927</v>
      </c>
      <c r="C36" s="1" t="s">
        <v>428</v>
      </c>
      <c r="D36" s="1" t="s">
        <v>13</v>
      </c>
      <c r="E36" s="1" t="s">
        <v>14</v>
      </c>
      <c r="F36" s="3" t="s">
        <v>1331</v>
      </c>
      <c r="G36">
        <v>25.59</v>
      </c>
      <c r="H36" s="1" t="s">
        <v>1332</v>
      </c>
      <c r="I36" s="1" t="s">
        <v>1333</v>
      </c>
      <c r="J36">
        <v>0.92</v>
      </c>
      <c r="K36">
        <v>29</v>
      </c>
      <c r="L36">
        <v>4500</v>
      </c>
      <c r="M36">
        <v>25.07</v>
      </c>
      <c r="N36">
        <v>34.82</v>
      </c>
      <c r="O36" s="1">
        <v>4700</v>
      </c>
      <c r="P36" s="1" t="s">
        <v>14</v>
      </c>
      <c r="Q36" s="1" t="s">
        <v>16</v>
      </c>
      <c r="R36">
        <v>23</v>
      </c>
      <c r="S36">
        <v>5.5</v>
      </c>
      <c r="T36">
        <v>222.5</v>
      </c>
      <c r="U36">
        <v>22.2</v>
      </c>
      <c r="V36">
        <v>4.7300000000000004</v>
      </c>
      <c r="W36">
        <v>0</v>
      </c>
      <c r="X36" s="1" t="str">
        <f>IF(OR(Table_0[[#This Row],[Table 0 (4).Fanduel Position]]="PG",Table_0[[#This Row],[Table 0 (4).Fanduel Position.2]]="PG"),Table_0[[#This Row],[IN]],"")</f>
        <v/>
      </c>
      <c r="Y36" s="1" t="str">
        <f>IF(OR(Table_0[[#This Row],[Table 0 (4).Fanduel Position]]="SG",Table_0[[#This Row],[Table 0 (4).Fanduel Position.2]]="SG"),Table_0[[#This Row],[IN]],"")</f>
        <v/>
      </c>
      <c r="Z36" s="1">
        <f>IF(OR(Table_0[[#This Row],[Table 0 (4).Fanduel Position]]="SF",Table_0[[#This Row],[Table 0 (4).Fanduel Position.2]]="SF"),Table_0[[#This Row],[IN]],"")</f>
        <v>0</v>
      </c>
      <c r="AA36" s="1">
        <f>IF(OR(Table_0[[#This Row],[Table 0 (4).Fanduel Position]]="PF",Table_0[[#This Row],[Table 0 (4).Fanduel Position.2]]="PF"),Table_0[[#This Row],[IN]],"")</f>
        <v>0</v>
      </c>
      <c r="AB36" s="1" t="str">
        <f>IF(OR(Table_0[[#This Row],[Table 0 (4).Fanduel Position]]="C",Table_0[[#This Row],[Table 0 (4).Fanduel Position.2]]="C"),Table_0[[#This Row],[IN]],"")</f>
        <v/>
      </c>
      <c r="AC36" s="1"/>
      <c r="AD36"/>
      <c r="AE36"/>
      <c r="AF36"/>
      <c r="AG36"/>
      <c r="AL36" t="str">
        <f t="shared" si="0"/>
        <v/>
      </c>
    </row>
    <row r="37" spans="1:45" x14ac:dyDescent="0.3">
      <c r="A37" s="1" t="s">
        <v>1334</v>
      </c>
      <c r="B37" s="1" t="s">
        <v>1335</v>
      </c>
      <c r="C37" s="1" t="s">
        <v>381</v>
      </c>
      <c r="D37" s="1" t="s">
        <v>18</v>
      </c>
      <c r="E37" s="1"/>
      <c r="F37" s="3" t="s">
        <v>17</v>
      </c>
      <c r="G37">
        <v>0</v>
      </c>
      <c r="H37" s="1" t="s">
        <v>1336</v>
      </c>
      <c r="I37" s="1" t="s">
        <v>1337</v>
      </c>
      <c r="J37">
        <v>1.1599999999999999</v>
      </c>
      <c r="K37">
        <v>0</v>
      </c>
      <c r="L37">
        <v>3000</v>
      </c>
      <c r="M37">
        <v>0</v>
      </c>
      <c r="N37">
        <v>0</v>
      </c>
      <c r="O37" s="1">
        <v>3500</v>
      </c>
      <c r="P37" s="1"/>
      <c r="Q37" s="1"/>
      <c r="W37">
        <v>0</v>
      </c>
      <c r="X37" s="1" t="str">
        <f>IF(OR(Table_0[[#This Row],[Table 0 (4).Fanduel Position]]="PG",Table_0[[#This Row],[Table 0 (4).Fanduel Position.2]]="PG"),Table_0[[#This Row],[IN]],"")</f>
        <v/>
      </c>
      <c r="Y37" s="1" t="str">
        <f>IF(OR(Table_0[[#This Row],[Table 0 (4).Fanduel Position]]="SG",Table_0[[#This Row],[Table 0 (4).Fanduel Position.2]]="SG"),Table_0[[#This Row],[IN]],"")</f>
        <v/>
      </c>
      <c r="Z37" s="1" t="str">
        <f>IF(OR(Table_0[[#This Row],[Table 0 (4).Fanduel Position]]="SF",Table_0[[#This Row],[Table 0 (4).Fanduel Position.2]]="SF"),Table_0[[#This Row],[IN]],"")</f>
        <v/>
      </c>
      <c r="AA37" s="1" t="str">
        <f>IF(OR(Table_0[[#This Row],[Table 0 (4).Fanduel Position]]="PF",Table_0[[#This Row],[Table 0 (4).Fanduel Position.2]]="PF"),Table_0[[#This Row],[IN]],"")</f>
        <v/>
      </c>
      <c r="AB37" s="1" t="str">
        <f>IF(OR(Table_0[[#This Row],[Table 0 (4).Fanduel Position]]="C",Table_0[[#This Row],[Table 0 (4).Fanduel Position.2]]="C"),Table_0[[#This Row],[IN]],"")</f>
        <v/>
      </c>
      <c r="AC37" s="1"/>
      <c r="AD37"/>
      <c r="AE37"/>
      <c r="AF37"/>
      <c r="AG37"/>
      <c r="AL37" t="str">
        <f t="shared" si="0"/>
        <v/>
      </c>
    </row>
    <row r="38" spans="1:45" x14ac:dyDescent="0.3">
      <c r="A38" s="1" t="s">
        <v>1338</v>
      </c>
      <c r="B38" s="1" t="s">
        <v>1339</v>
      </c>
      <c r="C38" s="1" t="s">
        <v>381</v>
      </c>
      <c r="D38" s="1" t="s">
        <v>14</v>
      </c>
      <c r="E38" s="1"/>
      <c r="F38" s="3" t="s">
        <v>17</v>
      </c>
      <c r="G38">
        <v>16.78</v>
      </c>
      <c r="H38" s="1" t="s">
        <v>1340</v>
      </c>
      <c r="I38" s="1" t="s">
        <v>1341</v>
      </c>
      <c r="J38">
        <v>0.72</v>
      </c>
      <c r="K38">
        <v>0</v>
      </c>
      <c r="L38">
        <v>3000</v>
      </c>
      <c r="M38">
        <v>0</v>
      </c>
      <c r="N38">
        <v>0</v>
      </c>
      <c r="O38" s="1">
        <v>3700</v>
      </c>
      <c r="P38" s="1"/>
      <c r="Q38" s="1"/>
      <c r="W38">
        <v>0</v>
      </c>
      <c r="X38" s="1" t="str">
        <f>IF(OR(Table_0[[#This Row],[Table 0 (4).Fanduel Position]]="PG",Table_0[[#This Row],[Table 0 (4).Fanduel Position.2]]="PG"),Table_0[[#This Row],[IN]],"")</f>
        <v/>
      </c>
      <c r="Y38" s="1" t="str">
        <f>IF(OR(Table_0[[#This Row],[Table 0 (4).Fanduel Position]]="SG",Table_0[[#This Row],[Table 0 (4).Fanduel Position.2]]="SG"),Table_0[[#This Row],[IN]],"")</f>
        <v/>
      </c>
      <c r="Z38" s="1" t="str">
        <f>IF(OR(Table_0[[#This Row],[Table 0 (4).Fanduel Position]]="SF",Table_0[[#This Row],[Table 0 (4).Fanduel Position.2]]="SF"),Table_0[[#This Row],[IN]],"")</f>
        <v/>
      </c>
      <c r="AA38" s="1" t="str">
        <f>IF(OR(Table_0[[#This Row],[Table 0 (4).Fanduel Position]]="PF",Table_0[[#This Row],[Table 0 (4).Fanduel Position.2]]="PF"),Table_0[[#This Row],[IN]],"")</f>
        <v/>
      </c>
      <c r="AB38" s="1" t="str">
        <f>IF(OR(Table_0[[#This Row],[Table 0 (4).Fanduel Position]]="C",Table_0[[#This Row],[Table 0 (4).Fanduel Position.2]]="C"),Table_0[[#This Row],[IN]],"")</f>
        <v/>
      </c>
      <c r="AC38" s="1"/>
      <c r="AD38"/>
      <c r="AE38"/>
      <c r="AF38"/>
      <c r="AG38"/>
      <c r="AL38" t="str">
        <f t="shared" si="0"/>
        <v/>
      </c>
    </row>
    <row r="39" spans="1:45" x14ac:dyDescent="0.3">
      <c r="A39" s="1" t="s">
        <v>936</v>
      </c>
      <c r="B39" s="1" t="s">
        <v>937</v>
      </c>
      <c r="C39" s="1" t="s">
        <v>388</v>
      </c>
      <c r="D39" s="1" t="s">
        <v>16</v>
      </c>
      <c r="E39" s="1"/>
      <c r="F39" s="3" t="s">
        <v>1342</v>
      </c>
      <c r="G39">
        <v>13.56</v>
      </c>
      <c r="H39" s="1" t="s">
        <v>26</v>
      </c>
      <c r="I39" s="1" t="s">
        <v>1276</v>
      </c>
      <c r="J39">
        <v>0.98</v>
      </c>
      <c r="K39">
        <v>22</v>
      </c>
      <c r="L39">
        <v>4100</v>
      </c>
      <c r="M39">
        <v>22.84</v>
      </c>
      <c r="N39">
        <v>34.82</v>
      </c>
      <c r="O39" s="1">
        <v>4400</v>
      </c>
      <c r="P39" s="1" t="s">
        <v>18</v>
      </c>
      <c r="Q39" s="1"/>
      <c r="R39">
        <v>27</v>
      </c>
      <c r="S39">
        <v>4</v>
      </c>
      <c r="T39">
        <v>231</v>
      </c>
      <c r="U39">
        <v>21.6</v>
      </c>
      <c r="V39">
        <v>4.91</v>
      </c>
      <c r="W39">
        <v>0</v>
      </c>
      <c r="X39" s="1" t="str">
        <f>IF(OR(Table_0[[#This Row],[Table 0 (4).Fanduel Position]]="PG",Table_0[[#This Row],[Table 0 (4).Fanduel Position.2]]="PG"),Table_0[[#This Row],[IN]],"")</f>
        <v/>
      </c>
      <c r="Y39" s="1" t="str">
        <f>IF(OR(Table_0[[#This Row],[Table 0 (4).Fanduel Position]]="SG",Table_0[[#This Row],[Table 0 (4).Fanduel Position.2]]="SG"),Table_0[[#This Row],[IN]],"")</f>
        <v/>
      </c>
      <c r="Z39" s="1" t="str">
        <f>IF(OR(Table_0[[#This Row],[Table 0 (4).Fanduel Position]]="SF",Table_0[[#This Row],[Table 0 (4).Fanduel Position.2]]="SF"),Table_0[[#This Row],[IN]],"")</f>
        <v/>
      </c>
      <c r="AA39" s="1" t="str">
        <f>IF(OR(Table_0[[#This Row],[Table 0 (4).Fanduel Position]]="PF",Table_0[[#This Row],[Table 0 (4).Fanduel Position.2]]="PF"),Table_0[[#This Row],[IN]],"")</f>
        <v/>
      </c>
      <c r="AB39" s="1">
        <f>IF(OR(Table_0[[#This Row],[Table 0 (4).Fanduel Position]]="C",Table_0[[#This Row],[Table 0 (4).Fanduel Position.2]]="C"),Table_0[[#This Row],[IN]],"")</f>
        <v>0</v>
      </c>
      <c r="AC39" s="1"/>
      <c r="AD39"/>
      <c r="AE39"/>
      <c r="AF39"/>
      <c r="AG39"/>
      <c r="AL39" t="str">
        <f t="shared" si="0"/>
        <v/>
      </c>
    </row>
    <row r="40" spans="1:45" x14ac:dyDescent="0.3">
      <c r="A40" s="1" t="s">
        <v>130</v>
      </c>
      <c r="B40" s="1" t="s">
        <v>1343</v>
      </c>
      <c r="C40" s="1" t="s">
        <v>392</v>
      </c>
      <c r="D40" s="1" t="s">
        <v>13</v>
      </c>
      <c r="E40" s="1" t="s">
        <v>14</v>
      </c>
      <c r="F40" s="3" t="s">
        <v>221</v>
      </c>
      <c r="G40">
        <v>0</v>
      </c>
      <c r="H40" s="1" t="s">
        <v>1344</v>
      </c>
      <c r="I40" s="1" t="s">
        <v>1264</v>
      </c>
      <c r="J40">
        <v>0.86</v>
      </c>
      <c r="K40">
        <v>24</v>
      </c>
      <c r="L40">
        <v>4500</v>
      </c>
      <c r="M40">
        <v>23.8</v>
      </c>
      <c r="N40">
        <v>33.06</v>
      </c>
      <c r="O40" s="1">
        <v>4900</v>
      </c>
      <c r="P40" s="1" t="s">
        <v>14</v>
      </c>
      <c r="Q40" s="1"/>
      <c r="R40">
        <v>26</v>
      </c>
      <c r="S40">
        <v>2</v>
      </c>
      <c r="T40">
        <v>211</v>
      </c>
      <c r="U40">
        <v>17.7</v>
      </c>
      <c r="V40">
        <v>3.6</v>
      </c>
      <c r="W40">
        <v>0</v>
      </c>
      <c r="X40" s="1" t="str">
        <f>IF(OR(Table_0[[#This Row],[Table 0 (4).Fanduel Position]]="PG",Table_0[[#This Row],[Table 0 (4).Fanduel Position.2]]="PG"),Table_0[[#This Row],[IN]],"")</f>
        <v/>
      </c>
      <c r="Y40" s="1" t="str">
        <f>IF(OR(Table_0[[#This Row],[Table 0 (4).Fanduel Position]]="SG",Table_0[[#This Row],[Table 0 (4).Fanduel Position.2]]="SG"),Table_0[[#This Row],[IN]],"")</f>
        <v/>
      </c>
      <c r="Z40" s="1">
        <f>IF(OR(Table_0[[#This Row],[Table 0 (4).Fanduel Position]]="SF",Table_0[[#This Row],[Table 0 (4).Fanduel Position.2]]="SF"),Table_0[[#This Row],[IN]],"")</f>
        <v>0</v>
      </c>
      <c r="AA40" s="1" t="str">
        <f>IF(OR(Table_0[[#This Row],[Table 0 (4).Fanduel Position]]="PF",Table_0[[#This Row],[Table 0 (4).Fanduel Position.2]]="PF"),Table_0[[#This Row],[IN]],"")</f>
        <v/>
      </c>
      <c r="AB40" s="1" t="str">
        <f>IF(OR(Table_0[[#This Row],[Table 0 (4).Fanduel Position]]="C",Table_0[[#This Row],[Table 0 (4).Fanduel Position.2]]="C"),Table_0[[#This Row],[IN]],"")</f>
        <v/>
      </c>
      <c r="AC40" s="1"/>
      <c r="AD40"/>
      <c r="AE40"/>
      <c r="AF40"/>
      <c r="AG40"/>
      <c r="AL40" t="str">
        <f t="shared" si="0"/>
        <v/>
      </c>
    </row>
    <row r="41" spans="1:45" x14ac:dyDescent="0.3">
      <c r="A41" s="1" t="s">
        <v>793</v>
      </c>
      <c r="B41" s="1" t="s">
        <v>794</v>
      </c>
      <c r="C41" s="1" t="s">
        <v>401</v>
      </c>
      <c r="D41" s="1" t="s">
        <v>18</v>
      </c>
      <c r="E41" s="1"/>
      <c r="F41" s="3" t="s">
        <v>1345</v>
      </c>
      <c r="G41">
        <v>32.32</v>
      </c>
      <c r="H41" s="1" t="s">
        <v>1346</v>
      </c>
      <c r="I41" s="1" t="s">
        <v>1347</v>
      </c>
      <c r="J41">
        <v>1.21</v>
      </c>
      <c r="K41">
        <v>30</v>
      </c>
      <c r="L41">
        <v>6900</v>
      </c>
      <c r="M41">
        <v>37.54</v>
      </c>
      <c r="N41">
        <v>34</v>
      </c>
      <c r="O41" s="1">
        <v>7000</v>
      </c>
      <c r="P41" s="1" t="s">
        <v>16</v>
      </c>
      <c r="Q41" s="1" t="s">
        <v>18</v>
      </c>
      <c r="R41">
        <v>27</v>
      </c>
      <c r="S41">
        <v>7</v>
      </c>
      <c r="T41">
        <v>233.5</v>
      </c>
      <c r="U41">
        <v>37.9</v>
      </c>
      <c r="V41">
        <v>5.41</v>
      </c>
      <c r="W41">
        <v>0</v>
      </c>
      <c r="X41" s="1" t="str">
        <f>IF(OR(Table_0[[#This Row],[Table 0 (4).Fanduel Position]]="PG",Table_0[[#This Row],[Table 0 (4).Fanduel Position.2]]="PG"),Table_0[[#This Row],[IN]],"")</f>
        <v/>
      </c>
      <c r="Y41" s="1" t="str">
        <f>IF(OR(Table_0[[#This Row],[Table 0 (4).Fanduel Position]]="SG",Table_0[[#This Row],[Table 0 (4).Fanduel Position.2]]="SG"),Table_0[[#This Row],[IN]],"")</f>
        <v/>
      </c>
      <c r="Z41" s="1" t="str">
        <f>IF(OR(Table_0[[#This Row],[Table 0 (4).Fanduel Position]]="SF",Table_0[[#This Row],[Table 0 (4).Fanduel Position.2]]="SF"),Table_0[[#This Row],[IN]],"")</f>
        <v/>
      </c>
      <c r="AA41" s="1">
        <f>IF(OR(Table_0[[#This Row],[Table 0 (4).Fanduel Position]]="PF",Table_0[[#This Row],[Table 0 (4).Fanduel Position.2]]="PF"),Table_0[[#This Row],[IN]],"")</f>
        <v>0</v>
      </c>
      <c r="AB41" s="1">
        <f>IF(OR(Table_0[[#This Row],[Table 0 (4).Fanduel Position]]="C",Table_0[[#This Row],[Table 0 (4).Fanduel Position.2]]="C"),Table_0[[#This Row],[IN]],"")</f>
        <v>0</v>
      </c>
      <c r="AC41" s="1"/>
      <c r="AD41"/>
      <c r="AE41"/>
      <c r="AF41"/>
      <c r="AG41"/>
      <c r="AL41" t="str">
        <f t="shared" si="0"/>
        <v/>
      </c>
    </row>
    <row r="42" spans="1:45" x14ac:dyDescent="0.3">
      <c r="A42" s="1" t="s">
        <v>269</v>
      </c>
      <c r="B42" s="1" t="s">
        <v>270</v>
      </c>
      <c r="C42" s="1" t="s">
        <v>251</v>
      </c>
      <c r="D42" s="1" t="s">
        <v>21</v>
      </c>
      <c r="E42" s="1" t="s">
        <v>13</v>
      </c>
      <c r="F42" s="3" t="s">
        <v>1331</v>
      </c>
      <c r="G42">
        <v>31.23</v>
      </c>
      <c r="H42" s="1" t="s">
        <v>1348</v>
      </c>
      <c r="I42" s="1" t="s">
        <v>373</v>
      </c>
      <c r="J42">
        <v>0.83</v>
      </c>
      <c r="K42">
        <v>29</v>
      </c>
      <c r="L42">
        <v>5500</v>
      </c>
      <c r="M42">
        <v>29.49</v>
      </c>
      <c r="N42">
        <v>33.51</v>
      </c>
      <c r="O42" s="1">
        <v>5500</v>
      </c>
      <c r="P42" s="1" t="s">
        <v>21</v>
      </c>
      <c r="Q42" s="1" t="s">
        <v>13</v>
      </c>
      <c r="R42">
        <v>7</v>
      </c>
      <c r="S42">
        <v>-2</v>
      </c>
      <c r="T42">
        <v>235.5</v>
      </c>
      <c r="U42">
        <v>24.5</v>
      </c>
      <c r="V42">
        <v>4.45</v>
      </c>
      <c r="W42">
        <v>0</v>
      </c>
      <c r="X42" s="1">
        <f>IF(OR(Table_0[[#This Row],[Table 0 (4).Fanduel Position]]="PG",Table_0[[#This Row],[Table 0 (4).Fanduel Position.2]]="PG"),Table_0[[#This Row],[IN]],"")</f>
        <v>0</v>
      </c>
      <c r="Y42" s="1">
        <f>IF(OR(Table_0[[#This Row],[Table 0 (4).Fanduel Position]]="SG",Table_0[[#This Row],[Table 0 (4).Fanduel Position.2]]="SG"),Table_0[[#This Row],[IN]],"")</f>
        <v>0</v>
      </c>
      <c r="Z42" s="1" t="str">
        <f>IF(OR(Table_0[[#This Row],[Table 0 (4).Fanduel Position]]="SF",Table_0[[#This Row],[Table 0 (4).Fanduel Position.2]]="SF"),Table_0[[#This Row],[IN]],"")</f>
        <v/>
      </c>
      <c r="AA42" s="1" t="str">
        <f>IF(OR(Table_0[[#This Row],[Table 0 (4).Fanduel Position]]="PF",Table_0[[#This Row],[Table 0 (4).Fanduel Position.2]]="PF"),Table_0[[#This Row],[IN]],"")</f>
        <v/>
      </c>
      <c r="AB42" s="1" t="str">
        <f>IF(OR(Table_0[[#This Row],[Table 0 (4).Fanduel Position]]="C",Table_0[[#This Row],[Table 0 (4).Fanduel Position.2]]="C"),Table_0[[#This Row],[IN]],"")</f>
        <v/>
      </c>
      <c r="AC42" s="1"/>
      <c r="AD42"/>
      <c r="AE42"/>
      <c r="AF42"/>
      <c r="AG42"/>
      <c r="AL42" t="str">
        <f t="shared" si="0"/>
        <v/>
      </c>
    </row>
    <row r="43" spans="1:45" x14ac:dyDescent="0.3">
      <c r="A43" s="1" t="s">
        <v>932</v>
      </c>
      <c r="B43" s="1" t="s">
        <v>899</v>
      </c>
      <c r="C43" s="1" t="s">
        <v>382</v>
      </c>
      <c r="D43" s="1" t="s">
        <v>13</v>
      </c>
      <c r="E43" s="1" t="s">
        <v>14</v>
      </c>
      <c r="F43" s="3" t="s">
        <v>24</v>
      </c>
      <c r="G43">
        <v>16.329999999999998</v>
      </c>
      <c r="H43" s="1" t="s">
        <v>1349</v>
      </c>
      <c r="I43" s="1" t="s">
        <v>1253</v>
      </c>
      <c r="J43">
        <v>0.83</v>
      </c>
      <c r="K43">
        <v>28</v>
      </c>
      <c r="L43">
        <v>4000</v>
      </c>
      <c r="M43">
        <v>22.98</v>
      </c>
      <c r="N43">
        <v>35.909999999999997</v>
      </c>
      <c r="O43" s="1">
        <v>4300</v>
      </c>
      <c r="P43" s="1" t="s">
        <v>13</v>
      </c>
      <c r="Q43" s="1" t="s">
        <v>21</v>
      </c>
      <c r="R43">
        <v>16</v>
      </c>
      <c r="S43">
        <v>5.5</v>
      </c>
      <c r="T43">
        <v>225</v>
      </c>
      <c r="U43">
        <v>22</v>
      </c>
      <c r="V43">
        <v>5.12</v>
      </c>
      <c r="W43">
        <v>0</v>
      </c>
      <c r="X43" s="1">
        <f>IF(OR(Table_0[[#This Row],[Table 0 (4).Fanduel Position]]="PG",Table_0[[#This Row],[Table 0 (4).Fanduel Position.2]]="PG"),Table_0[[#This Row],[IN]],"")</f>
        <v>0</v>
      </c>
      <c r="Y43" s="1">
        <f>IF(OR(Table_0[[#This Row],[Table 0 (4).Fanduel Position]]="SG",Table_0[[#This Row],[Table 0 (4).Fanduel Position.2]]="SG"),Table_0[[#This Row],[IN]],"")</f>
        <v>0</v>
      </c>
      <c r="Z43" s="1" t="str">
        <f>IF(OR(Table_0[[#This Row],[Table 0 (4).Fanduel Position]]="SF",Table_0[[#This Row],[Table 0 (4).Fanduel Position.2]]="SF"),Table_0[[#This Row],[IN]],"")</f>
        <v/>
      </c>
      <c r="AA43" s="1" t="str">
        <f>IF(OR(Table_0[[#This Row],[Table 0 (4).Fanduel Position]]="PF",Table_0[[#This Row],[Table 0 (4).Fanduel Position.2]]="PF"),Table_0[[#This Row],[IN]],"")</f>
        <v/>
      </c>
      <c r="AB43" s="1" t="str">
        <f>IF(OR(Table_0[[#This Row],[Table 0 (4).Fanduel Position]]="C",Table_0[[#This Row],[Table 0 (4).Fanduel Position.2]]="C"),Table_0[[#This Row],[IN]],"")</f>
        <v/>
      </c>
      <c r="AC43" s="1"/>
      <c r="AD43"/>
      <c r="AE43"/>
      <c r="AF43"/>
      <c r="AG43"/>
      <c r="AL43" t="str">
        <f t="shared" si="0"/>
        <v/>
      </c>
    </row>
    <row r="44" spans="1:45" x14ac:dyDescent="0.3">
      <c r="A44" s="1" t="s">
        <v>1350</v>
      </c>
      <c r="B44" s="1" t="s">
        <v>1351</v>
      </c>
      <c r="C44" s="1" t="s">
        <v>428</v>
      </c>
      <c r="D44" s="1" t="s">
        <v>21</v>
      </c>
      <c r="E44" s="1"/>
      <c r="F44" s="3" t="s">
        <v>17</v>
      </c>
      <c r="G44">
        <v>35.25</v>
      </c>
      <c r="H44" s="1" t="s">
        <v>1344</v>
      </c>
      <c r="I44" s="1" t="s">
        <v>1352</v>
      </c>
      <c r="J44">
        <v>0.85</v>
      </c>
      <c r="K44">
        <v>0</v>
      </c>
      <c r="L44">
        <v>3000</v>
      </c>
      <c r="M44">
        <v>0</v>
      </c>
      <c r="N44">
        <v>0</v>
      </c>
      <c r="O44" s="1">
        <v>3500</v>
      </c>
      <c r="P44" s="1" t="s">
        <v>13</v>
      </c>
      <c r="Q44" s="1"/>
      <c r="R44">
        <v>15</v>
      </c>
      <c r="S44">
        <v>5.5</v>
      </c>
      <c r="T44">
        <v>222.5</v>
      </c>
      <c r="U44">
        <v>0</v>
      </c>
      <c r="V44">
        <v>0</v>
      </c>
      <c r="W44">
        <v>0</v>
      </c>
      <c r="X44" s="1" t="str">
        <f>IF(OR(Table_0[[#This Row],[Table 0 (4).Fanduel Position]]="PG",Table_0[[#This Row],[Table 0 (4).Fanduel Position.2]]="PG"),Table_0[[#This Row],[IN]],"")</f>
        <v/>
      </c>
      <c r="Y44" s="1">
        <f>IF(OR(Table_0[[#This Row],[Table 0 (4).Fanduel Position]]="SG",Table_0[[#This Row],[Table 0 (4).Fanduel Position.2]]="SG"),Table_0[[#This Row],[IN]],"")</f>
        <v>0</v>
      </c>
      <c r="Z44" s="1" t="str">
        <f>IF(OR(Table_0[[#This Row],[Table 0 (4).Fanduel Position]]="SF",Table_0[[#This Row],[Table 0 (4).Fanduel Position.2]]="SF"),Table_0[[#This Row],[IN]],"")</f>
        <v/>
      </c>
      <c r="AA44" s="1" t="str">
        <f>IF(OR(Table_0[[#This Row],[Table 0 (4).Fanduel Position]]="PF",Table_0[[#This Row],[Table 0 (4).Fanduel Position.2]]="PF"),Table_0[[#This Row],[IN]],"")</f>
        <v/>
      </c>
      <c r="AB44" s="1" t="str">
        <f>IF(OR(Table_0[[#This Row],[Table 0 (4).Fanduel Position]]="C",Table_0[[#This Row],[Table 0 (4).Fanduel Position.2]]="C"),Table_0[[#This Row],[IN]],"")</f>
        <v/>
      </c>
      <c r="AC44" s="1"/>
      <c r="AD44"/>
      <c r="AE44"/>
      <c r="AF44"/>
      <c r="AG44"/>
      <c r="AL44" t="str">
        <f t="shared" si="0"/>
        <v/>
      </c>
    </row>
    <row r="45" spans="1:45" x14ac:dyDescent="0.3">
      <c r="A45" s="1" t="s">
        <v>1353</v>
      </c>
      <c r="B45" s="1" t="s">
        <v>277</v>
      </c>
      <c r="C45" s="1" t="s">
        <v>257</v>
      </c>
      <c r="D45" s="1" t="s">
        <v>13</v>
      </c>
      <c r="E45" s="1" t="s">
        <v>14</v>
      </c>
      <c r="F45" s="3" t="s">
        <v>221</v>
      </c>
      <c r="G45">
        <v>0</v>
      </c>
      <c r="H45" s="1" t="s">
        <v>1354</v>
      </c>
      <c r="I45" s="1" t="s">
        <v>1355</v>
      </c>
      <c r="J45">
        <v>0.63</v>
      </c>
      <c r="K45">
        <v>24</v>
      </c>
      <c r="L45">
        <v>3500</v>
      </c>
      <c r="M45">
        <v>18.73</v>
      </c>
      <c r="N45">
        <v>33.450000000000003</v>
      </c>
      <c r="O45" s="1">
        <v>3500</v>
      </c>
      <c r="P45" s="1" t="s">
        <v>14</v>
      </c>
      <c r="Q45" s="1"/>
      <c r="R45">
        <v>27</v>
      </c>
      <c r="S45">
        <v>-6</v>
      </c>
      <c r="T45">
        <v>213</v>
      </c>
      <c r="U45">
        <v>18.2</v>
      </c>
      <c r="V45">
        <v>5.19</v>
      </c>
      <c r="W45">
        <v>1</v>
      </c>
      <c r="X45" s="1" t="str">
        <f>IF(OR(Table_0[[#This Row],[Table 0 (4).Fanduel Position]]="PG",Table_0[[#This Row],[Table 0 (4).Fanduel Position.2]]="PG"),Table_0[[#This Row],[IN]],"")</f>
        <v/>
      </c>
      <c r="Y45" s="1" t="str">
        <f>IF(OR(Table_0[[#This Row],[Table 0 (4).Fanduel Position]]="SG",Table_0[[#This Row],[Table 0 (4).Fanduel Position.2]]="SG"),Table_0[[#This Row],[IN]],"")</f>
        <v/>
      </c>
      <c r="Z45" s="1">
        <f>IF(OR(Table_0[[#This Row],[Table 0 (4).Fanduel Position]]="SF",Table_0[[#This Row],[Table 0 (4).Fanduel Position.2]]="SF"),Table_0[[#This Row],[IN]],"")</f>
        <v>1</v>
      </c>
      <c r="AA45" s="1" t="str">
        <f>IF(OR(Table_0[[#This Row],[Table 0 (4).Fanduel Position]]="PF",Table_0[[#This Row],[Table 0 (4).Fanduel Position.2]]="PF"),Table_0[[#This Row],[IN]],"")</f>
        <v/>
      </c>
      <c r="AB45" s="1" t="str">
        <f>IF(OR(Table_0[[#This Row],[Table 0 (4).Fanduel Position]]="C",Table_0[[#This Row],[Table 0 (4).Fanduel Position.2]]="C"),Table_0[[#This Row],[IN]],"")</f>
        <v/>
      </c>
      <c r="AC45" s="1"/>
      <c r="AL45" t="str">
        <f t="shared" si="0"/>
        <v/>
      </c>
      <c r="AS45" t="e">
        <f>IF(#REF!=1,B202,"")</f>
        <v>#REF!</v>
      </c>
    </row>
    <row r="46" spans="1:45" x14ac:dyDescent="0.3">
      <c r="A46" s="1" t="s">
        <v>245</v>
      </c>
      <c r="B46" s="1" t="s">
        <v>364</v>
      </c>
      <c r="C46" s="1" t="s">
        <v>257</v>
      </c>
      <c r="D46" s="1" t="s">
        <v>21</v>
      </c>
      <c r="E46" s="1"/>
      <c r="F46" s="3" t="s">
        <v>17</v>
      </c>
      <c r="G46">
        <v>0</v>
      </c>
      <c r="H46" s="1" t="s">
        <v>22</v>
      </c>
      <c r="I46" s="1" t="s">
        <v>365</v>
      </c>
      <c r="J46">
        <v>0</v>
      </c>
      <c r="K46">
        <v>0</v>
      </c>
      <c r="L46">
        <v>3000</v>
      </c>
      <c r="M46">
        <v>0</v>
      </c>
      <c r="N46">
        <v>0</v>
      </c>
      <c r="O46" s="1">
        <v>3500</v>
      </c>
      <c r="P46" s="1"/>
      <c r="Q46" s="1"/>
      <c r="W46">
        <v>0</v>
      </c>
      <c r="X46" s="1" t="str">
        <f>IF(OR(Table_0[[#This Row],[Table 0 (4).Fanduel Position]]="PG",Table_0[[#This Row],[Table 0 (4).Fanduel Position.2]]="PG"),Table_0[[#This Row],[IN]],"")</f>
        <v/>
      </c>
      <c r="Y46" s="1" t="str">
        <f>IF(OR(Table_0[[#This Row],[Table 0 (4).Fanduel Position]]="SG",Table_0[[#This Row],[Table 0 (4).Fanduel Position.2]]="SG"),Table_0[[#This Row],[IN]],"")</f>
        <v/>
      </c>
      <c r="Z46" s="1" t="str">
        <f>IF(OR(Table_0[[#This Row],[Table 0 (4).Fanduel Position]]="SF",Table_0[[#This Row],[Table 0 (4).Fanduel Position.2]]="SF"),Table_0[[#This Row],[IN]],"")</f>
        <v/>
      </c>
      <c r="AA46" s="1" t="str">
        <f>IF(OR(Table_0[[#This Row],[Table 0 (4).Fanduel Position]]="PF",Table_0[[#This Row],[Table 0 (4).Fanduel Position.2]]="PF"),Table_0[[#This Row],[IN]],"")</f>
        <v/>
      </c>
      <c r="AB46" s="1" t="str">
        <f>IF(OR(Table_0[[#This Row],[Table 0 (4).Fanduel Position]]="C",Table_0[[#This Row],[Table 0 (4).Fanduel Position.2]]="C"),Table_0[[#This Row],[IN]],"")</f>
        <v/>
      </c>
      <c r="AC46" s="1"/>
      <c r="AL46" t="str">
        <f t="shared" si="0"/>
        <v>Kispert</v>
      </c>
    </row>
    <row r="47" spans="1:45" x14ac:dyDescent="0.3">
      <c r="A47" s="1" t="s">
        <v>1129</v>
      </c>
      <c r="B47" s="1" t="s">
        <v>1130</v>
      </c>
      <c r="C47" s="1" t="s">
        <v>401</v>
      </c>
      <c r="D47" s="1" t="s">
        <v>21</v>
      </c>
      <c r="E47" s="1"/>
      <c r="F47" s="3" t="s">
        <v>17</v>
      </c>
      <c r="G47">
        <v>19.79</v>
      </c>
      <c r="H47" s="1" t="s">
        <v>1356</v>
      </c>
      <c r="I47" s="1" t="s">
        <v>1276</v>
      </c>
      <c r="J47">
        <v>0.73</v>
      </c>
      <c r="K47">
        <v>0</v>
      </c>
      <c r="L47">
        <v>3000</v>
      </c>
      <c r="M47">
        <v>0</v>
      </c>
      <c r="N47">
        <v>0</v>
      </c>
      <c r="O47" s="1">
        <v>3500</v>
      </c>
      <c r="P47" s="1" t="s">
        <v>21</v>
      </c>
      <c r="Q47" s="1" t="s">
        <v>13</v>
      </c>
      <c r="R47">
        <v>9</v>
      </c>
      <c r="S47">
        <v>7</v>
      </c>
      <c r="T47">
        <v>233.5</v>
      </c>
      <c r="U47">
        <v>7.8</v>
      </c>
      <c r="V47">
        <v>2.23</v>
      </c>
      <c r="W47">
        <v>0</v>
      </c>
      <c r="X47" s="1">
        <f>IF(OR(Table_0[[#This Row],[Table 0 (4).Fanduel Position]]="PG",Table_0[[#This Row],[Table 0 (4).Fanduel Position.2]]="PG"),Table_0[[#This Row],[IN]],"")</f>
        <v>0</v>
      </c>
      <c r="Y47" s="1">
        <f>IF(OR(Table_0[[#This Row],[Table 0 (4).Fanduel Position]]="SG",Table_0[[#This Row],[Table 0 (4).Fanduel Position.2]]="SG"),Table_0[[#This Row],[IN]],"")</f>
        <v>0</v>
      </c>
      <c r="Z47" s="1" t="str">
        <f>IF(OR(Table_0[[#This Row],[Table 0 (4).Fanduel Position]]="SF",Table_0[[#This Row],[Table 0 (4).Fanduel Position.2]]="SF"),Table_0[[#This Row],[IN]],"")</f>
        <v/>
      </c>
      <c r="AA47" s="1" t="str">
        <f>IF(OR(Table_0[[#This Row],[Table 0 (4).Fanduel Position]]="PF",Table_0[[#This Row],[Table 0 (4).Fanduel Position.2]]="PF"),Table_0[[#This Row],[IN]],"")</f>
        <v/>
      </c>
      <c r="AB47" s="1" t="str">
        <f>IF(OR(Table_0[[#This Row],[Table 0 (4).Fanduel Position]]="C",Table_0[[#This Row],[Table 0 (4).Fanduel Position.2]]="C"),Table_0[[#This Row],[IN]],"")</f>
        <v/>
      </c>
      <c r="AC47" s="1"/>
      <c r="AL47" t="str">
        <f t="shared" si="0"/>
        <v/>
      </c>
    </row>
    <row r="48" spans="1:45" x14ac:dyDescent="0.3">
      <c r="A48" s="1" t="s">
        <v>1076</v>
      </c>
      <c r="B48" s="1" t="s">
        <v>1077</v>
      </c>
      <c r="C48" s="1" t="s">
        <v>401</v>
      </c>
      <c r="D48" s="1" t="s">
        <v>21</v>
      </c>
      <c r="E48" s="1"/>
      <c r="F48" s="3" t="s">
        <v>17</v>
      </c>
      <c r="G48">
        <v>0</v>
      </c>
      <c r="H48" s="1" t="s">
        <v>22</v>
      </c>
      <c r="I48" s="1" t="s">
        <v>1357</v>
      </c>
      <c r="J48">
        <v>1.08</v>
      </c>
      <c r="K48">
        <v>0</v>
      </c>
      <c r="L48">
        <v>3000</v>
      </c>
      <c r="M48">
        <v>0</v>
      </c>
      <c r="N48">
        <v>0</v>
      </c>
      <c r="O48" s="1">
        <v>3500</v>
      </c>
      <c r="P48" s="1" t="s">
        <v>21</v>
      </c>
      <c r="Q48" s="1"/>
      <c r="R48">
        <v>9</v>
      </c>
      <c r="S48">
        <v>7</v>
      </c>
      <c r="T48">
        <v>233.5</v>
      </c>
      <c r="U48">
        <v>13.4</v>
      </c>
      <c r="V48">
        <v>3.83</v>
      </c>
      <c r="W48">
        <v>0</v>
      </c>
      <c r="X48" s="1">
        <f>IF(OR(Table_0[[#This Row],[Table 0 (4).Fanduel Position]]="PG",Table_0[[#This Row],[Table 0 (4).Fanduel Position.2]]="PG"),Table_0[[#This Row],[IN]],"")</f>
        <v>0</v>
      </c>
      <c r="Y48" s="1" t="str">
        <f>IF(OR(Table_0[[#This Row],[Table 0 (4).Fanduel Position]]="SG",Table_0[[#This Row],[Table 0 (4).Fanduel Position.2]]="SG"),Table_0[[#This Row],[IN]],"")</f>
        <v/>
      </c>
      <c r="Z48" s="1" t="str">
        <f>IF(OR(Table_0[[#This Row],[Table 0 (4).Fanduel Position]]="SF",Table_0[[#This Row],[Table 0 (4).Fanduel Position.2]]="SF"),Table_0[[#This Row],[IN]],"")</f>
        <v/>
      </c>
      <c r="AA48" s="1" t="str">
        <f>IF(OR(Table_0[[#This Row],[Table 0 (4).Fanduel Position]]="PF",Table_0[[#This Row],[Table 0 (4).Fanduel Position.2]]="PF"),Table_0[[#This Row],[IN]],"")</f>
        <v/>
      </c>
      <c r="AB48" s="1" t="str">
        <f>IF(OR(Table_0[[#This Row],[Table 0 (4).Fanduel Position]]="C",Table_0[[#This Row],[Table 0 (4).Fanduel Position.2]]="C"),Table_0[[#This Row],[IN]],"")</f>
        <v/>
      </c>
      <c r="AC48" s="1"/>
      <c r="AL48" t="str">
        <f t="shared" si="0"/>
        <v/>
      </c>
    </row>
    <row r="49" spans="1:38" x14ac:dyDescent="0.3">
      <c r="A49" s="1" t="s">
        <v>1358</v>
      </c>
      <c r="B49" s="1" t="s">
        <v>267</v>
      </c>
      <c r="C49" s="1" t="s">
        <v>388</v>
      </c>
      <c r="D49" s="1" t="s">
        <v>18</v>
      </c>
      <c r="E49" s="1"/>
      <c r="F49" s="3" t="s">
        <v>17</v>
      </c>
      <c r="G49">
        <v>13.97</v>
      </c>
      <c r="H49" s="1" t="s">
        <v>1359</v>
      </c>
      <c r="I49" s="1" t="s">
        <v>1286</v>
      </c>
      <c r="J49">
        <v>0.94</v>
      </c>
      <c r="K49">
        <v>0</v>
      </c>
      <c r="L49">
        <v>3900</v>
      </c>
      <c r="M49">
        <v>0</v>
      </c>
      <c r="N49">
        <v>0</v>
      </c>
      <c r="O49" s="1">
        <v>3800</v>
      </c>
      <c r="P49" s="1" t="s">
        <v>18</v>
      </c>
      <c r="Q49" s="1"/>
      <c r="R49">
        <v>2</v>
      </c>
      <c r="S49">
        <v>4</v>
      </c>
      <c r="T49">
        <v>231</v>
      </c>
      <c r="U49">
        <v>0</v>
      </c>
      <c r="V49">
        <v>0</v>
      </c>
      <c r="W49">
        <v>0</v>
      </c>
      <c r="X49" s="1" t="str">
        <f>IF(OR(Table_0[[#This Row],[Table 0 (4).Fanduel Position]]="PG",Table_0[[#This Row],[Table 0 (4).Fanduel Position.2]]="PG"),Table_0[[#This Row],[IN]],"")</f>
        <v/>
      </c>
      <c r="Y49" s="1" t="str">
        <f>IF(OR(Table_0[[#This Row],[Table 0 (4).Fanduel Position]]="SG",Table_0[[#This Row],[Table 0 (4).Fanduel Position.2]]="SG"),Table_0[[#This Row],[IN]],"")</f>
        <v/>
      </c>
      <c r="Z49" s="1" t="str">
        <f>IF(OR(Table_0[[#This Row],[Table 0 (4).Fanduel Position]]="SF",Table_0[[#This Row],[Table 0 (4).Fanduel Position.2]]="SF"),Table_0[[#This Row],[IN]],"")</f>
        <v/>
      </c>
      <c r="AA49" s="1" t="str">
        <f>IF(OR(Table_0[[#This Row],[Table 0 (4).Fanduel Position]]="PF",Table_0[[#This Row],[Table 0 (4).Fanduel Position.2]]="PF"),Table_0[[#This Row],[IN]],"")</f>
        <v/>
      </c>
      <c r="AB49" s="1">
        <f>IF(OR(Table_0[[#This Row],[Table 0 (4).Fanduel Position]]="C",Table_0[[#This Row],[Table 0 (4).Fanduel Position.2]]="C"),Table_0[[#This Row],[IN]],"")</f>
        <v>0</v>
      </c>
      <c r="AC49" s="1"/>
      <c r="AL49" t="str">
        <f t="shared" si="0"/>
        <v/>
      </c>
    </row>
    <row r="50" spans="1:38" x14ac:dyDescent="0.3">
      <c r="A50" s="1" t="s">
        <v>1360</v>
      </c>
      <c r="B50" s="1" t="s">
        <v>1361</v>
      </c>
      <c r="C50" s="1" t="s">
        <v>396</v>
      </c>
      <c r="D50" s="1" t="s">
        <v>13</v>
      </c>
      <c r="E50" s="1"/>
      <c r="F50" s="3" t="s">
        <v>17</v>
      </c>
      <c r="G50">
        <v>19.72</v>
      </c>
      <c r="H50" s="1" t="s">
        <v>1362</v>
      </c>
      <c r="I50" s="1" t="s">
        <v>1276</v>
      </c>
      <c r="J50">
        <v>0.64</v>
      </c>
      <c r="K50">
        <v>0</v>
      </c>
      <c r="L50">
        <v>3000</v>
      </c>
      <c r="M50">
        <v>0</v>
      </c>
      <c r="N50">
        <v>0</v>
      </c>
      <c r="O50" s="1">
        <v>100000</v>
      </c>
      <c r="P50" s="1"/>
      <c r="Q50" s="1"/>
      <c r="W50">
        <v>0</v>
      </c>
      <c r="X50" s="1" t="str">
        <f>IF(OR(Table_0[[#This Row],[Table 0 (4).Fanduel Position]]="PG",Table_0[[#This Row],[Table 0 (4).Fanduel Position.2]]="PG"),Table_0[[#This Row],[IN]],"")</f>
        <v/>
      </c>
      <c r="Y50" s="1" t="str">
        <f>IF(OR(Table_0[[#This Row],[Table 0 (4).Fanduel Position]]="SG",Table_0[[#This Row],[Table 0 (4).Fanduel Position.2]]="SG"),Table_0[[#This Row],[IN]],"")</f>
        <v/>
      </c>
      <c r="Z50" s="1" t="str">
        <f>IF(OR(Table_0[[#This Row],[Table 0 (4).Fanduel Position]]="SF",Table_0[[#This Row],[Table 0 (4).Fanduel Position.2]]="SF"),Table_0[[#This Row],[IN]],"")</f>
        <v/>
      </c>
      <c r="AA50" s="1" t="str">
        <f>IF(OR(Table_0[[#This Row],[Table 0 (4).Fanduel Position]]="PF",Table_0[[#This Row],[Table 0 (4).Fanduel Position.2]]="PF"),Table_0[[#This Row],[IN]],"")</f>
        <v/>
      </c>
      <c r="AB50" s="1" t="str">
        <f>IF(OR(Table_0[[#This Row],[Table 0 (4).Fanduel Position]]="C",Table_0[[#This Row],[Table 0 (4).Fanduel Position.2]]="C"),Table_0[[#This Row],[IN]],"")</f>
        <v/>
      </c>
      <c r="AC50" s="1"/>
      <c r="AL50" t="str">
        <f t="shared" si="0"/>
        <v/>
      </c>
    </row>
    <row r="51" spans="1:38" x14ac:dyDescent="0.3">
      <c r="A51" s="1" t="s">
        <v>1363</v>
      </c>
      <c r="B51" s="1" t="s">
        <v>266</v>
      </c>
      <c r="C51" s="1" t="s">
        <v>257</v>
      </c>
      <c r="D51" s="1" t="s">
        <v>18</v>
      </c>
      <c r="E51" s="1"/>
      <c r="F51" s="3" t="s">
        <v>1364</v>
      </c>
      <c r="G51">
        <v>14.65</v>
      </c>
      <c r="H51" s="1" t="s">
        <v>1365</v>
      </c>
      <c r="I51" s="1" t="s">
        <v>1366</v>
      </c>
      <c r="J51">
        <v>1.08</v>
      </c>
      <c r="K51">
        <v>19</v>
      </c>
      <c r="L51">
        <v>6200</v>
      </c>
      <c r="M51">
        <v>25.9</v>
      </c>
      <c r="N51">
        <v>26.11</v>
      </c>
      <c r="O51" s="1">
        <v>5600</v>
      </c>
      <c r="P51" s="1" t="s">
        <v>18</v>
      </c>
      <c r="Q51" s="1"/>
      <c r="R51">
        <v>19</v>
      </c>
      <c r="S51">
        <v>-6</v>
      </c>
      <c r="T51">
        <v>213</v>
      </c>
      <c r="U51">
        <v>25.4</v>
      </c>
      <c r="V51">
        <v>4.53</v>
      </c>
      <c r="W51">
        <v>0</v>
      </c>
      <c r="X51" s="1" t="str">
        <f>IF(OR(Table_0[[#This Row],[Table 0 (4).Fanduel Position]]="PG",Table_0[[#This Row],[Table 0 (4).Fanduel Position.2]]="PG"),Table_0[[#This Row],[IN]],"")</f>
        <v/>
      </c>
      <c r="Y51" s="1" t="str">
        <f>IF(OR(Table_0[[#This Row],[Table 0 (4).Fanduel Position]]="SG",Table_0[[#This Row],[Table 0 (4).Fanduel Position.2]]="SG"),Table_0[[#This Row],[IN]],"")</f>
        <v/>
      </c>
      <c r="Z51" s="1" t="str">
        <f>IF(OR(Table_0[[#This Row],[Table 0 (4).Fanduel Position]]="SF",Table_0[[#This Row],[Table 0 (4).Fanduel Position.2]]="SF"),Table_0[[#This Row],[IN]],"")</f>
        <v/>
      </c>
      <c r="AA51" s="1" t="str">
        <f>IF(OR(Table_0[[#This Row],[Table 0 (4).Fanduel Position]]="PF",Table_0[[#This Row],[Table 0 (4).Fanduel Position.2]]="PF"),Table_0[[#This Row],[IN]],"")</f>
        <v/>
      </c>
      <c r="AB51" s="1">
        <f>IF(OR(Table_0[[#This Row],[Table 0 (4).Fanduel Position]]="C",Table_0[[#This Row],[Table 0 (4).Fanduel Position.2]]="C"),Table_0[[#This Row],[IN]],"")</f>
        <v>0</v>
      </c>
      <c r="AC51" s="1"/>
      <c r="AL51" t="str">
        <f t="shared" si="0"/>
        <v/>
      </c>
    </row>
    <row r="52" spans="1:38" x14ac:dyDescent="0.3">
      <c r="A52" s="1" t="s">
        <v>1363</v>
      </c>
      <c r="B52" s="1" t="s">
        <v>975</v>
      </c>
      <c r="C52" s="1" t="s">
        <v>401</v>
      </c>
      <c r="D52" s="1" t="s">
        <v>16</v>
      </c>
      <c r="E52" s="1" t="s">
        <v>18</v>
      </c>
      <c r="F52" s="3" t="s">
        <v>17</v>
      </c>
      <c r="G52">
        <v>24.62</v>
      </c>
      <c r="H52" s="1" t="s">
        <v>1367</v>
      </c>
      <c r="I52" s="1" t="s">
        <v>1348</v>
      </c>
      <c r="J52">
        <v>0.8</v>
      </c>
      <c r="K52">
        <v>0</v>
      </c>
      <c r="L52">
        <v>3800</v>
      </c>
      <c r="M52">
        <v>0</v>
      </c>
      <c r="N52">
        <v>0</v>
      </c>
      <c r="O52" s="1">
        <v>4100</v>
      </c>
      <c r="P52" s="1" t="s">
        <v>16</v>
      </c>
      <c r="Q52" s="1" t="s">
        <v>18</v>
      </c>
      <c r="R52">
        <v>4</v>
      </c>
      <c r="S52">
        <v>7</v>
      </c>
      <c r="T52">
        <v>233.5</v>
      </c>
      <c r="U52">
        <v>18.899999999999999</v>
      </c>
      <c r="V52">
        <v>4.5999999999999996</v>
      </c>
      <c r="W52">
        <v>0</v>
      </c>
      <c r="X52" s="1" t="str">
        <f>IF(OR(Table_0[[#This Row],[Table 0 (4).Fanduel Position]]="PG",Table_0[[#This Row],[Table 0 (4).Fanduel Position.2]]="PG"),Table_0[[#This Row],[IN]],"")</f>
        <v/>
      </c>
      <c r="Y52" s="1" t="str">
        <f>IF(OR(Table_0[[#This Row],[Table 0 (4).Fanduel Position]]="SG",Table_0[[#This Row],[Table 0 (4).Fanduel Position.2]]="SG"),Table_0[[#This Row],[IN]],"")</f>
        <v/>
      </c>
      <c r="Z52" s="1" t="str">
        <f>IF(OR(Table_0[[#This Row],[Table 0 (4).Fanduel Position]]="SF",Table_0[[#This Row],[Table 0 (4).Fanduel Position.2]]="SF"),Table_0[[#This Row],[IN]],"")</f>
        <v/>
      </c>
      <c r="AA52" s="1">
        <f>IF(OR(Table_0[[#This Row],[Table 0 (4).Fanduel Position]]="PF",Table_0[[#This Row],[Table 0 (4).Fanduel Position.2]]="PF"),Table_0[[#This Row],[IN]],"")</f>
        <v>0</v>
      </c>
      <c r="AB52" s="1">
        <f>IF(OR(Table_0[[#This Row],[Table 0 (4).Fanduel Position]]="C",Table_0[[#This Row],[Table 0 (4).Fanduel Position.2]]="C"),Table_0[[#This Row],[IN]],"")</f>
        <v>0</v>
      </c>
      <c r="AC52" s="1"/>
      <c r="AL52" t="str">
        <f t="shared" si="0"/>
        <v/>
      </c>
    </row>
    <row r="53" spans="1:38" x14ac:dyDescent="0.3">
      <c r="A53" s="1" t="s">
        <v>1368</v>
      </c>
      <c r="B53" s="1" t="s">
        <v>272</v>
      </c>
      <c r="C53" s="1" t="s">
        <v>381</v>
      </c>
      <c r="D53" s="1" t="s">
        <v>14</v>
      </c>
      <c r="E53" s="1"/>
      <c r="F53" s="3" t="s">
        <v>27</v>
      </c>
      <c r="G53">
        <v>28.03</v>
      </c>
      <c r="H53" s="1" t="s">
        <v>1369</v>
      </c>
      <c r="I53" s="1" t="s">
        <v>1370</v>
      </c>
      <c r="J53">
        <v>0.71</v>
      </c>
      <c r="K53">
        <v>26</v>
      </c>
      <c r="L53">
        <v>3600</v>
      </c>
      <c r="M53">
        <v>20.03</v>
      </c>
      <c r="N53">
        <v>34.770000000000003</v>
      </c>
      <c r="O53" s="1">
        <v>4300</v>
      </c>
      <c r="P53" s="1" t="s">
        <v>13</v>
      </c>
      <c r="Q53" s="1" t="s">
        <v>14</v>
      </c>
      <c r="R53">
        <v>26</v>
      </c>
      <c r="S53">
        <v>-5.5</v>
      </c>
      <c r="T53">
        <v>225</v>
      </c>
      <c r="U53">
        <v>16.2</v>
      </c>
      <c r="V53">
        <v>3.76</v>
      </c>
      <c r="W53">
        <v>0</v>
      </c>
      <c r="X53" s="1" t="str">
        <f>IF(OR(Table_0[[#This Row],[Table 0 (4).Fanduel Position]]="PG",Table_0[[#This Row],[Table 0 (4).Fanduel Position.2]]="PG"),Table_0[[#This Row],[IN]],"")</f>
        <v/>
      </c>
      <c r="Y53" s="1">
        <f>IF(OR(Table_0[[#This Row],[Table 0 (4).Fanduel Position]]="SG",Table_0[[#This Row],[Table 0 (4).Fanduel Position.2]]="SG"),Table_0[[#This Row],[IN]],"")</f>
        <v>0</v>
      </c>
      <c r="Z53" s="1">
        <f>IF(OR(Table_0[[#This Row],[Table 0 (4).Fanduel Position]]="SF",Table_0[[#This Row],[Table 0 (4).Fanduel Position.2]]="SF"),Table_0[[#This Row],[IN]],"")</f>
        <v>0</v>
      </c>
      <c r="AA53" s="1" t="str">
        <f>IF(OR(Table_0[[#This Row],[Table 0 (4).Fanduel Position]]="PF",Table_0[[#This Row],[Table 0 (4).Fanduel Position.2]]="PF"),Table_0[[#This Row],[IN]],"")</f>
        <v/>
      </c>
      <c r="AB53" s="1" t="str">
        <f>IF(OR(Table_0[[#This Row],[Table 0 (4).Fanduel Position]]="C",Table_0[[#This Row],[Table 0 (4).Fanduel Position.2]]="C"),Table_0[[#This Row],[IN]],"")</f>
        <v/>
      </c>
      <c r="AC53" s="1"/>
      <c r="AL53" t="str">
        <f t="shared" si="0"/>
        <v/>
      </c>
    </row>
    <row r="54" spans="1:38" x14ac:dyDescent="0.3">
      <c r="A54" s="1" t="s">
        <v>1371</v>
      </c>
      <c r="B54" s="1" t="s">
        <v>1372</v>
      </c>
      <c r="C54" s="1" t="s">
        <v>427</v>
      </c>
      <c r="D54" s="1" t="s">
        <v>16</v>
      </c>
      <c r="E54" s="1"/>
      <c r="F54" s="3" t="s">
        <v>17</v>
      </c>
      <c r="G54">
        <v>25.89</v>
      </c>
      <c r="H54" s="1" t="s">
        <v>1279</v>
      </c>
      <c r="I54" s="1" t="s">
        <v>1373</v>
      </c>
      <c r="J54">
        <v>0.74</v>
      </c>
      <c r="K54">
        <v>0</v>
      </c>
      <c r="L54">
        <v>3000</v>
      </c>
      <c r="M54">
        <v>0</v>
      </c>
      <c r="N54">
        <v>0</v>
      </c>
      <c r="O54" s="1">
        <v>3600</v>
      </c>
      <c r="P54" s="1"/>
      <c r="Q54" s="1"/>
      <c r="W54">
        <v>0</v>
      </c>
      <c r="X54" s="1" t="str">
        <f>IF(OR(Table_0[[#This Row],[Table 0 (4).Fanduel Position]]="PG",Table_0[[#This Row],[Table 0 (4).Fanduel Position.2]]="PG"),Table_0[[#This Row],[IN]],"")</f>
        <v/>
      </c>
      <c r="Y54" s="1" t="str">
        <f>IF(OR(Table_0[[#This Row],[Table 0 (4).Fanduel Position]]="SG",Table_0[[#This Row],[Table 0 (4).Fanduel Position.2]]="SG"),Table_0[[#This Row],[IN]],"")</f>
        <v/>
      </c>
      <c r="Z54" s="1" t="str">
        <f>IF(OR(Table_0[[#This Row],[Table 0 (4).Fanduel Position]]="SF",Table_0[[#This Row],[Table 0 (4).Fanduel Position.2]]="SF"),Table_0[[#This Row],[IN]],"")</f>
        <v/>
      </c>
      <c r="AA54" s="1" t="str">
        <f>IF(OR(Table_0[[#This Row],[Table 0 (4).Fanduel Position]]="PF",Table_0[[#This Row],[Table 0 (4).Fanduel Position.2]]="PF"),Table_0[[#This Row],[IN]],"")</f>
        <v/>
      </c>
      <c r="AB54" s="1" t="str">
        <f>IF(OR(Table_0[[#This Row],[Table 0 (4).Fanduel Position]]="C",Table_0[[#This Row],[Table 0 (4).Fanduel Position.2]]="C"),Table_0[[#This Row],[IN]],"")</f>
        <v/>
      </c>
      <c r="AC54" s="1"/>
      <c r="AL54" t="str">
        <f t="shared" si="0"/>
        <v/>
      </c>
    </row>
    <row r="55" spans="1:38" x14ac:dyDescent="0.3">
      <c r="A55" s="1" t="s">
        <v>1374</v>
      </c>
      <c r="B55" s="1" t="s">
        <v>818</v>
      </c>
      <c r="C55" s="1" t="s">
        <v>428</v>
      </c>
      <c r="D55" s="1" t="s">
        <v>21</v>
      </c>
      <c r="E55" s="1"/>
      <c r="F55" s="3" t="s">
        <v>1375</v>
      </c>
      <c r="G55">
        <v>33.130000000000003</v>
      </c>
      <c r="H55" s="1" t="s">
        <v>1376</v>
      </c>
      <c r="I55" s="1" t="s">
        <v>1377</v>
      </c>
      <c r="J55">
        <v>1.06</v>
      </c>
      <c r="K55">
        <v>35</v>
      </c>
      <c r="L55">
        <v>8100</v>
      </c>
      <c r="M55">
        <v>39.450000000000003</v>
      </c>
      <c r="N55">
        <v>30.44</v>
      </c>
      <c r="O55" s="1">
        <v>7700</v>
      </c>
      <c r="P55" s="1" t="s">
        <v>13</v>
      </c>
      <c r="Q55" s="1" t="s">
        <v>21</v>
      </c>
      <c r="R55">
        <v>15</v>
      </c>
      <c r="S55">
        <v>5.5</v>
      </c>
      <c r="T55">
        <v>222.5</v>
      </c>
      <c r="U55">
        <v>34.799999999999997</v>
      </c>
      <c r="V55">
        <v>4.5199999999999996</v>
      </c>
      <c r="W55">
        <v>0</v>
      </c>
      <c r="X55" s="1">
        <f>IF(OR(Table_0[[#This Row],[Table 0 (4).Fanduel Position]]="PG",Table_0[[#This Row],[Table 0 (4).Fanduel Position.2]]="PG"),Table_0[[#This Row],[IN]],"")</f>
        <v>0</v>
      </c>
      <c r="Y55" s="1">
        <f>IF(OR(Table_0[[#This Row],[Table 0 (4).Fanduel Position]]="SG",Table_0[[#This Row],[Table 0 (4).Fanduel Position.2]]="SG"),Table_0[[#This Row],[IN]],"")</f>
        <v>0</v>
      </c>
      <c r="Z55" s="1" t="str">
        <f>IF(OR(Table_0[[#This Row],[Table 0 (4).Fanduel Position]]="SF",Table_0[[#This Row],[Table 0 (4).Fanduel Position.2]]="SF"),Table_0[[#This Row],[IN]],"")</f>
        <v/>
      </c>
      <c r="AA55" s="1" t="str">
        <f>IF(OR(Table_0[[#This Row],[Table 0 (4).Fanduel Position]]="PF",Table_0[[#This Row],[Table 0 (4).Fanduel Position.2]]="PF"),Table_0[[#This Row],[IN]],"")</f>
        <v/>
      </c>
      <c r="AB55" s="1" t="str">
        <f>IF(OR(Table_0[[#This Row],[Table 0 (4).Fanduel Position]]="C",Table_0[[#This Row],[Table 0 (4).Fanduel Position.2]]="C"),Table_0[[#This Row],[IN]],"")</f>
        <v/>
      </c>
      <c r="AC55" s="1"/>
      <c r="AL55" t="str">
        <f t="shared" si="0"/>
        <v/>
      </c>
    </row>
    <row r="56" spans="1:38" x14ac:dyDescent="0.3">
      <c r="A56" s="1" t="s">
        <v>1099</v>
      </c>
      <c r="B56" s="1" t="s">
        <v>1378</v>
      </c>
      <c r="C56" s="1" t="s">
        <v>398</v>
      </c>
      <c r="D56" s="1" t="s">
        <v>14</v>
      </c>
      <c r="E56" s="1"/>
      <c r="F56" s="3" t="s">
        <v>38</v>
      </c>
      <c r="G56">
        <v>0</v>
      </c>
      <c r="H56" s="1" t="s">
        <v>1379</v>
      </c>
      <c r="I56" s="1" t="s">
        <v>15</v>
      </c>
      <c r="J56">
        <v>0.79</v>
      </c>
      <c r="K56">
        <v>15</v>
      </c>
      <c r="L56">
        <v>3500</v>
      </c>
      <c r="M56">
        <v>16.32</v>
      </c>
      <c r="N56">
        <v>29.14</v>
      </c>
      <c r="O56" s="1">
        <v>3700</v>
      </c>
      <c r="P56" s="1"/>
      <c r="Q56" s="1"/>
      <c r="W56">
        <v>0</v>
      </c>
      <c r="X56" s="1" t="str">
        <f>IF(OR(Table_0[[#This Row],[Table 0 (4).Fanduel Position]]="PG",Table_0[[#This Row],[Table 0 (4).Fanduel Position.2]]="PG"),Table_0[[#This Row],[IN]],"")</f>
        <v/>
      </c>
      <c r="Y56" s="1" t="str">
        <f>IF(OR(Table_0[[#This Row],[Table 0 (4).Fanduel Position]]="SG",Table_0[[#This Row],[Table 0 (4).Fanduel Position.2]]="SG"),Table_0[[#This Row],[IN]],"")</f>
        <v/>
      </c>
      <c r="Z56" s="1" t="str">
        <f>IF(OR(Table_0[[#This Row],[Table 0 (4).Fanduel Position]]="SF",Table_0[[#This Row],[Table 0 (4).Fanduel Position.2]]="SF"),Table_0[[#This Row],[IN]],"")</f>
        <v/>
      </c>
      <c r="AA56" s="1" t="str">
        <f>IF(OR(Table_0[[#This Row],[Table 0 (4).Fanduel Position]]="PF",Table_0[[#This Row],[Table 0 (4).Fanduel Position.2]]="PF"),Table_0[[#This Row],[IN]],"")</f>
        <v/>
      </c>
      <c r="AB56" s="1" t="str">
        <f>IF(OR(Table_0[[#This Row],[Table 0 (4).Fanduel Position]]="C",Table_0[[#This Row],[Table 0 (4).Fanduel Position.2]]="C"),Table_0[[#This Row],[IN]],"")</f>
        <v/>
      </c>
      <c r="AC56" s="1"/>
      <c r="AL56" t="str">
        <f t="shared" si="0"/>
        <v/>
      </c>
    </row>
    <row r="57" spans="1:38" x14ac:dyDescent="0.3">
      <c r="A57" s="1" t="s">
        <v>1099</v>
      </c>
      <c r="B57" s="1" t="s">
        <v>1036</v>
      </c>
      <c r="C57" s="1" t="s">
        <v>401</v>
      </c>
      <c r="D57" s="1" t="s">
        <v>14</v>
      </c>
      <c r="E57" s="1" t="s">
        <v>16</v>
      </c>
      <c r="F57" s="3" t="s">
        <v>38</v>
      </c>
      <c r="G57">
        <v>22.6</v>
      </c>
      <c r="H57" s="1" t="s">
        <v>1311</v>
      </c>
      <c r="I57" s="1" t="s">
        <v>379</v>
      </c>
      <c r="J57">
        <v>0.99</v>
      </c>
      <c r="K57">
        <v>15</v>
      </c>
      <c r="L57">
        <v>3200</v>
      </c>
      <c r="M57">
        <v>17.690000000000001</v>
      </c>
      <c r="N57">
        <v>34.549999999999997</v>
      </c>
      <c r="O57" s="1">
        <v>4100</v>
      </c>
      <c r="P57" s="1" t="s">
        <v>14</v>
      </c>
      <c r="Q57" s="1" t="s">
        <v>13</v>
      </c>
      <c r="R57">
        <v>29</v>
      </c>
      <c r="S57">
        <v>7</v>
      </c>
      <c r="T57">
        <v>233.5</v>
      </c>
      <c r="U57">
        <v>14.7</v>
      </c>
      <c r="V57">
        <v>3.58</v>
      </c>
      <c r="W57">
        <v>0</v>
      </c>
      <c r="X57" s="1" t="str">
        <f>IF(OR(Table_0[[#This Row],[Table 0 (4).Fanduel Position]]="PG",Table_0[[#This Row],[Table 0 (4).Fanduel Position.2]]="PG"),Table_0[[#This Row],[IN]],"")</f>
        <v/>
      </c>
      <c r="Y57" s="1">
        <f>IF(OR(Table_0[[#This Row],[Table 0 (4).Fanduel Position]]="SG",Table_0[[#This Row],[Table 0 (4).Fanduel Position.2]]="SG"),Table_0[[#This Row],[IN]],"")</f>
        <v>0</v>
      </c>
      <c r="Z57" s="1">
        <f>IF(OR(Table_0[[#This Row],[Table 0 (4).Fanduel Position]]="SF",Table_0[[#This Row],[Table 0 (4).Fanduel Position.2]]="SF"),Table_0[[#This Row],[IN]],"")</f>
        <v>0</v>
      </c>
      <c r="AA57" s="1" t="str">
        <f>IF(OR(Table_0[[#This Row],[Table 0 (4).Fanduel Position]]="PF",Table_0[[#This Row],[Table 0 (4).Fanduel Position.2]]="PF"),Table_0[[#This Row],[IN]],"")</f>
        <v/>
      </c>
      <c r="AB57" s="1" t="str">
        <f>IF(OR(Table_0[[#This Row],[Table 0 (4).Fanduel Position]]="C",Table_0[[#This Row],[Table 0 (4).Fanduel Position.2]]="C"),Table_0[[#This Row],[IN]],"")</f>
        <v/>
      </c>
      <c r="AC57" s="1"/>
      <c r="AL57" t="str">
        <f t="shared" si="0"/>
        <v/>
      </c>
    </row>
    <row r="58" spans="1:38" x14ac:dyDescent="0.3">
      <c r="A58" s="1" t="s">
        <v>1380</v>
      </c>
      <c r="B58" s="1" t="s">
        <v>767</v>
      </c>
      <c r="C58" s="1" t="s">
        <v>388</v>
      </c>
      <c r="D58" s="1" t="s">
        <v>21</v>
      </c>
      <c r="E58" s="1" t="s">
        <v>13</v>
      </c>
      <c r="F58" s="3" t="s">
        <v>1381</v>
      </c>
      <c r="G58">
        <v>0</v>
      </c>
      <c r="H58" s="1" t="s">
        <v>1382</v>
      </c>
      <c r="I58" s="1" t="s">
        <v>23</v>
      </c>
      <c r="J58">
        <v>0.76</v>
      </c>
      <c r="K58">
        <v>21</v>
      </c>
      <c r="L58">
        <v>3100</v>
      </c>
      <c r="M58">
        <v>17.260000000000002</v>
      </c>
      <c r="N58">
        <v>34.799999999999997</v>
      </c>
      <c r="O58" s="1">
        <v>4200</v>
      </c>
      <c r="P58" s="1" t="s">
        <v>21</v>
      </c>
      <c r="Q58" s="1"/>
      <c r="R58">
        <v>19</v>
      </c>
      <c r="S58">
        <v>4</v>
      </c>
      <c r="T58">
        <v>231</v>
      </c>
      <c r="U58">
        <v>17.7</v>
      </c>
      <c r="V58">
        <v>4.21</v>
      </c>
      <c r="W58">
        <v>0</v>
      </c>
      <c r="X58" s="1">
        <f>IF(OR(Table_0[[#This Row],[Table 0 (4).Fanduel Position]]="PG",Table_0[[#This Row],[Table 0 (4).Fanduel Position.2]]="PG"),Table_0[[#This Row],[IN]],"")</f>
        <v>0</v>
      </c>
      <c r="Y58" s="1" t="str">
        <f>IF(OR(Table_0[[#This Row],[Table 0 (4).Fanduel Position]]="SG",Table_0[[#This Row],[Table 0 (4).Fanduel Position.2]]="SG"),Table_0[[#This Row],[IN]],"")</f>
        <v/>
      </c>
      <c r="Z58" s="1" t="str">
        <f>IF(OR(Table_0[[#This Row],[Table 0 (4).Fanduel Position]]="SF",Table_0[[#This Row],[Table 0 (4).Fanduel Position.2]]="SF"),Table_0[[#This Row],[IN]],"")</f>
        <v/>
      </c>
      <c r="AA58" s="1" t="str">
        <f>IF(OR(Table_0[[#This Row],[Table 0 (4).Fanduel Position]]="PF",Table_0[[#This Row],[Table 0 (4).Fanduel Position.2]]="PF"),Table_0[[#This Row],[IN]],"")</f>
        <v/>
      </c>
      <c r="AB58" s="1" t="str">
        <f>IF(OR(Table_0[[#This Row],[Table 0 (4).Fanduel Position]]="C",Table_0[[#This Row],[Table 0 (4).Fanduel Position.2]]="C"),Table_0[[#This Row],[IN]],"")</f>
        <v/>
      </c>
      <c r="AC58" s="1"/>
      <c r="AL58" t="str">
        <f t="shared" si="0"/>
        <v/>
      </c>
    </row>
    <row r="59" spans="1:38" x14ac:dyDescent="0.3">
      <c r="A59" s="1" t="s">
        <v>1068</v>
      </c>
      <c r="B59" s="1" t="s">
        <v>287</v>
      </c>
      <c r="C59" s="1" t="s">
        <v>257</v>
      </c>
      <c r="D59" s="1" t="s">
        <v>16</v>
      </c>
      <c r="E59" s="1"/>
      <c r="F59" s="3" t="s">
        <v>17</v>
      </c>
      <c r="G59">
        <v>25.67</v>
      </c>
      <c r="H59" s="1" t="s">
        <v>1383</v>
      </c>
      <c r="I59" s="1" t="s">
        <v>1384</v>
      </c>
      <c r="J59">
        <v>0.75</v>
      </c>
      <c r="K59">
        <v>0</v>
      </c>
      <c r="L59">
        <v>3300</v>
      </c>
      <c r="M59">
        <v>0</v>
      </c>
      <c r="N59">
        <v>0</v>
      </c>
      <c r="O59" s="1">
        <v>3800</v>
      </c>
      <c r="P59" s="1" t="s">
        <v>14</v>
      </c>
      <c r="Q59" s="1"/>
      <c r="R59">
        <v>17</v>
      </c>
      <c r="S59">
        <v>-6</v>
      </c>
      <c r="T59">
        <v>213</v>
      </c>
      <c r="U59">
        <v>7.5</v>
      </c>
      <c r="V59">
        <v>1.96</v>
      </c>
      <c r="W59">
        <v>0</v>
      </c>
      <c r="X59" s="1" t="str">
        <f>IF(OR(Table_0[[#This Row],[Table 0 (4).Fanduel Position]]="PG",Table_0[[#This Row],[Table 0 (4).Fanduel Position.2]]="PG"),Table_0[[#This Row],[IN]],"")</f>
        <v/>
      </c>
      <c r="Y59" s="1" t="str">
        <f>IF(OR(Table_0[[#This Row],[Table 0 (4).Fanduel Position]]="SG",Table_0[[#This Row],[Table 0 (4).Fanduel Position.2]]="SG"),Table_0[[#This Row],[IN]],"")</f>
        <v/>
      </c>
      <c r="Z59" s="1">
        <f>IF(OR(Table_0[[#This Row],[Table 0 (4).Fanduel Position]]="SF",Table_0[[#This Row],[Table 0 (4).Fanduel Position.2]]="SF"),Table_0[[#This Row],[IN]],"")</f>
        <v>0</v>
      </c>
      <c r="AA59" s="1" t="str">
        <f>IF(OR(Table_0[[#This Row],[Table 0 (4).Fanduel Position]]="PF",Table_0[[#This Row],[Table 0 (4).Fanduel Position.2]]="PF"),Table_0[[#This Row],[IN]],"")</f>
        <v/>
      </c>
      <c r="AB59" s="1" t="str">
        <f>IF(OR(Table_0[[#This Row],[Table 0 (4).Fanduel Position]]="C",Table_0[[#This Row],[Table 0 (4).Fanduel Position.2]]="C"),Table_0[[#This Row],[IN]],"")</f>
        <v/>
      </c>
      <c r="AC59" s="1"/>
      <c r="AL59" t="str">
        <f t="shared" si="0"/>
        <v/>
      </c>
    </row>
    <row r="60" spans="1:38" x14ac:dyDescent="0.3">
      <c r="A60" s="1" t="s">
        <v>1385</v>
      </c>
      <c r="B60" s="1" t="s">
        <v>1018</v>
      </c>
      <c r="C60" s="1" t="s">
        <v>398</v>
      </c>
      <c r="D60" s="1" t="s">
        <v>18</v>
      </c>
      <c r="E60" s="1"/>
      <c r="F60" s="3" t="s">
        <v>1386</v>
      </c>
      <c r="G60">
        <v>0</v>
      </c>
      <c r="H60" s="1" t="s">
        <v>1387</v>
      </c>
      <c r="I60" s="1" t="s">
        <v>37</v>
      </c>
      <c r="J60">
        <v>1.35</v>
      </c>
      <c r="K60">
        <v>13</v>
      </c>
      <c r="L60">
        <v>3300</v>
      </c>
      <c r="M60">
        <v>16.89</v>
      </c>
      <c r="N60">
        <v>31.99</v>
      </c>
      <c r="O60" s="1">
        <v>4500</v>
      </c>
      <c r="P60" s="1" t="s">
        <v>16</v>
      </c>
      <c r="Q60" s="1"/>
      <c r="R60">
        <v>10</v>
      </c>
      <c r="S60">
        <v>2</v>
      </c>
      <c r="T60">
        <v>235.5</v>
      </c>
      <c r="U60">
        <v>15.4</v>
      </c>
      <c r="V60">
        <v>3.42</v>
      </c>
      <c r="W60">
        <v>0</v>
      </c>
      <c r="X60" s="1" t="str">
        <f>IF(OR(Table_0[[#This Row],[Table 0 (4).Fanduel Position]]="PG",Table_0[[#This Row],[Table 0 (4).Fanduel Position.2]]="PG"),Table_0[[#This Row],[IN]],"")</f>
        <v/>
      </c>
      <c r="Y60" s="1" t="str">
        <f>IF(OR(Table_0[[#This Row],[Table 0 (4).Fanduel Position]]="SG",Table_0[[#This Row],[Table 0 (4).Fanduel Position.2]]="SG"),Table_0[[#This Row],[IN]],"")</f>
        <v/>
      </c>
      <c r="Z60" s="1" t="str">
        <f>IF(OR(Table_0[[#This Row],[Table 0 (4).Fanduel Position]]="SF",Table_0[[#This Row],[Table 0 (4).Fanduel Position.2]]="SF"),Table_0[[#This Row],[IN]],"")</f>
        <v/>
      </c>
      <c r="AA60" s="1">
        <f>IF(OR(Table_0[[#This Row],[Table 0 (4).Fanduel Position]]="PF",Table_0[[#This Row],[Table 0 (4).Fanduel Position.2]]="PF"),Table_0[[#This Row],[IN]],"")</f>
        <v>0</v>
      </c>
      <c r="AB60" s="1" t="str">
        <f>IF(OR(Table_0[[#This Row],[Table 0 (4).Fanduel Position]]="C",Table_0[[#This Row],[Table 0 (4).Fanduel Position.2]]="C"),Table_0[[#This Row],[IN]],"")</f>
        <v/>
      </c>
      <c r="AC60" s="1"/>
      <c r="AL60" t="str">
        <f t="shared" si="0"/>
        <v/>
      </c>
    </row>
    <row r="61" spans="1:38" x14ac:dyDescent="0.3">
      <c r="A61" s="1" t="s">
        <v>810</v>
      </c>
      <c r="B61" s="1" t="s">
        <v>811</v>
      </c>
      <c r="C61" s="1" t="s">
        <v>388</v>
      </c>
      <c r="D61" s="1" t="s">
        <v>21</v>
      </c>
      <c r="E61" s="1"/>
      <c r="F61" s="3" t="s">
        <v>1297</v>
      </c>
      <c r="G61">
        <v>35.1</v>
      </c>
      <c r="H61" s="1" t="s">
        <v>1388</v>
      </c>
      <c r="I61" s="1" t="s">
        <v>1377</v>
      </c>
      <c r="J61">
        <v>1.05</v>
      </c>
      <c r="K61">
        <v>32</v>
      </c>
      <c r="L61">
        <v>7500</v>
      </c>
      <c r="M61">
        <v>38.659999999999997</v>
      </c>
      <c r="N61">
        <v>32.22</v>
      </c>
      <c r="O61" s="1">
        <v>8100</v>
      </c>
      <c r="P61" s="1" t="s">
        <v>21</v>
      </c>
      <c r="Q61" s="1"/>
      <c r="R61">
        <v>19</v>
      </c>
      <c r="S61">
        <v>4</v>
      </c>
      <c r="T61">
        <v>231</v>
      </c>
      <c r="U61">
        <v>35.5</v>
      </c>
      <c r="V61">
        <v>4.38</v>
      </c>
      <c r="W61">
        <v>0</v>
      </c>
      <c r="X61" s="1">
        <f>IF(OR(Table_0[[#This Row],[Table 0 (4).Fanduel Position]]="PG",Table_0[[#This Row],[Table 0 (4).Fanduel Position.2]]="PG"),Table_0[[#This Row],[IN]],"")</f>
        <v>0</v>
      </c>
      <c r="Y61" s="1" t="str">
        <f>IF(OR(Table_0[[#This Row],[Table 0 (4).Fanduel Position]]="SG",Table_0[[#This Row],[Table 0 (4).Fanduel Position.2]]="SG"),Table_0[[#This Row],[IN]],"")</f>
        <v/>
      </c>
      <c r="Z61" s="1" t="str">
        <f>IF(OR(Table_0[[#This Row],[Table 0 (4).Fanduel Position]]="SF",Table_0[[#This Row],[Table 0 (4).Fanduel Position.2]]="SF"),Table_0[[#This Row],[IN]],"")</f>
        <v/>
      </c>
      <c r="AA61" s="1" t="str">
        <f>IF(OR(Table_0[[#This Row],[Table 0 (4).Fanduel Position]]="PF",Table_0[[#This Row],[Table 0 (4).Fanduel Position.2]]="PF"),Table_0[[#This Row],[IN]],"")</f>
        <v/>
      </c>
      <c r="AB61" s="1" t="str">
        <f>IF(OR(Table_0[[#This Row],[Table 0 (4).Fanduel Position]]="C",Table_0[[#This Row],[Table 0 (4).Fanduel Position.2]]="C"),Table_0[[#This Row],[IN]],"")</f>
        <v/>
      </c>
      <c r="AC61" s="1"/>
      <c r="AL61" t="str">
        <f t="shared" si="0"/>
        <v/>
      </c>
    </row>
    <row r="62" spans="1:38" x14ac:dyDescent="0.3">
      <c r="A62" s="1" t="s">
        <v>1140</v>
      </c>
      <c r="B62" s="1" t="s">
        <v>1141</v>
      </c>
      <c r="C62" s="1" t="s">
        <v>428</v>
      </c>
      <c r="D62" s="1" t="s">
        <v>16</v>
      </c>
      <c r="E62" s="1"/>
      <c r="F62" s="3" t="s">
        <v>17</v>
      </c>
      <c r="G62">
        <v>19.239999999999998</v>
      </c>
      <c r="H62" s="1" t="s">
        <v>1389</v>
      </c>
      <c r="I62" s="1" t="s">
        <v>1295</v>
      </c>
      <c r="J62">
        <v>0.7</v>
      </c>
      <c r="K62">
        <v>0</v>
      </c>
      <c r="L62">
        <v>3000</v>
      </c>
      <c r="M62">
        <v>0</v>
      </c>
      <c r="N62">
        <v>0</v>
      </c>
      <c r="O62" s="1">
        <v>3500</v>
      </c>
      <c r="P62" s="1" t="s">
        <v>16</v>
      </c>
      <c r="Q62" s="1" t="s">
        <v>14</v>
      </c>
      <c r="R62">
        <v>15</v>
      </c>
      <c r="S62">
        <v>5.5</v>
      </c>
      <c r="T62">
        <v>222.5</v>
      </c>
      <c r="U62">
        <v>6.9</v>
      </c>
      <c r="V62">
        <v>1.98</v>
      </c>
      <c r="W62">
        <v>0</v>
      </c>
      <c r="X62" s="1" t="str">
        <f>IF(OR(Table_0[[#This Row],[Table 0 (4).Fanduel Position]]="PG",Table_0[[#This Row],[Table 0 (4).Fanduel Position.2]]="PG"),Table_0[[#This Row],[IN]],"")</f>
        <v/>
      </c>
      <c r="Y62" s="1" t="str">
        <f>IF(OR(Table_0[[#This Row],[Table 0 (4).Fanduel Position]]="SG",Table_0[[#This Row],[Table 0 (4).Fanduel Position.2]]="SG"),Table_0[[#This Row],[IN]],"")</f>
        <v/>
      </c>
      <c r="Z62" s="1">
        <f>IF(OR(Table_0[[#This Row],[Table 0 (4).Fanduel Position]]="SF",Table_0[[#This Row],[Table 0 (4).Fanduel Position.2]]="SF"),Table_0[[#This Row],[IN]],"")</f>
        <v>0</v>
      </c>
      <c r="AA62" s="1">
        <f>IF(OR(Table_0[[#This Row],[Table 0 (4).Fanduel Position]]="PF",Table_0[[#This Row],[Table 0 (4).Fanduel Position.2]]="PF"),Table_0[[#This Row],[IN]],"")</f>
        <v>0</v>
      </c>
      <c r="AB62" s="1" t="str">
        <f>IF(OR(Table_0[[#This Row],[Table 0 (4).Fanduel Position]]="C",Table_0[[#This Row],[Table 0 (4).Fanduel Position.2]]="C"),Table_0[[#This Row],[IN]],"")</f>
        <v/>
      </c>
      <c r="AC62" s="1"/>
      <c r="AL62" t="str">
        <f t="shared" si="0"/>
        <v/>
      </c>
    </row>
    <row r="63" spans="1:38" x14ac:dyDescent="0.3">
      <c r="A63" s="1" t="s">
        <v>1390</v>
      </c>
      <c r="B63" s="1" t="s">
        <v>1015</v>
      </c>
      <c r="C63" s="1" t="s">
        <v>398</v>
      </c>
      <c r="D63" s="1" t="s">
        <v>13</v>
      </c>
      <c r="E63" s="1" t="s">
        <v>14</v>
      </c>
      <c r="F63" s="3" t="s">
        <v>1391</v>
      </c>
      <c r="G63">
        <v>19.04</v>
      </c>
      <c r="H63" s="1" t="s">
        <v>1315</v>
      </c>
      <c r="I63" s="1" t="s">
        <v>1273</v>
      </c>
      <c r="J63">
        <v>0.77</v>
      </c>
      <c r="K63">
        <v>17</v>
      </c>
      <c r="L63">
        <v>3400</v>
      </c>
      <c r="M63">
        <v>17</v>
      </c>
      <c r="N63">
        <v>31.25</v>
      </c>
      <c r="O63" s="1">
        <v>3900</v>
      </c>
      <c r="P63" s="1" t="s">
        <v>13</v>
      </c>
      <c r="Q63" s="1" t="s">
        <v>14</v>
      </c>
      <c r="R63">
        <v>18</v>
      </c>
      <c r="S63">
        <v>2</v>
      </c>
      <c r="T63">
        <v>235.5</v>
      </c>
      <c r="U63">
        <v>15.7</v>
      </c>
      <c r="V63">
        <v>4.0199999999999996</v>
      </c>
      <c r="W63">
        <v>0</v>
      </c>
      <c r="X63" s="1" t="str">
        <f>IF(OR(Table_0[[#This Row],[Table 0 (4).Fanduel Position]]="PG",Table_0[[#This Row],[Table 0 (4).Fanduel Position.2]]="PG"),Table_0[[#This Row],[IN]],"")</f>
        <v/>
      </c>
      <c r="Y63" s="1">
        <f>IF(OR(Table_0[[#This Row],[Table 0 (4).Fanduel Position]]="SG",Table_0[[#This Row],[Table 0 (4).Fanduel Position.2]]="SG"),Table_0[[#This Row],[IN]],"")</f>
        <v>0</v>
      </c>
      <c r="Z63" s="1">
        <f>IF(OR(Table_0[[#This Row],[Table 0 (4).Fanduel Position]]="SF",Table_0[[#This Row],[Table 0 (4).Fanduel Position.2]]="SF"),Table_0[[#This Row],[IN]],"")</f>
        <v>0</v>
      </c>
      <c r="AA63" s="1" t="str">
        <f>IF(OR(Table_0[[#This Row],[Table 0 (4).Fanduel Position]]="PF",Table_0[[#This Row],[Table 0 (4).Fanduel Position.2]]="PF"),Table_0[[#This Row],[IN]],"")</f>
        <v/>
      </c>
      <c r="AB63" s="1" t="str">
        <f>IF(OR(Table_0[[#This Row],[Table 0 (4).Fanduel Position]]="C",Table_0[[#This Row],[Table 0 (4).Fanduel Position.2]]="C"),Table_0[[#This Row],[IN]],"")</f>
        <v/>
      </c>
      <c r="AC63" s="1"/>
      <c r="AL63" t="str">
        <f t="shared" si="0"/>
        <v/>
      </c>
    </row>
    <row r="64" spans="1:38" x14ac:dyDescent="0.3">
      <c r="A64" s="1" t="s">
        <v>1392</v>
      </c>
      <c r="B64" s="1" t="s">
        <v>1393</v>
      </c>
      <c r="C64" s="1" t="s">
        <v>401</v>
      </c>
      <c r="D64" s="1" t="s">
        <v>13</v>
      </c>
      <c r="E64" s="1"/>
      <c r="F64" s="3" t="s">
        <v>17</v>
      </c>
      <c r="G64">
        <v>0</v>
      </c>
      <c r="H64" s="1" t="s">
        <v>22</v>
      </c>
      <c r="I64" s="1" t="s">
        <v>1394</v>
      </c>
      <c r="J64">
        <v>0</v>
      </c>
      <c r="K64">
        <v>0</v>
      </c>
      <c r="L64">
        <v>3000</v>
      </c>
      <c r="M64">
        <v>0</v>
      </c>
      <c r="N64">
        <v>0</v>
      </c>
      <c r="O64" s="1">
        <v>100000</v>
      </c>
      <c r="P64" s="1"/>
      <c r="Q64" s="1"/>
      <c r="W64">
        <v>0</v>
      </c>
      <c r="X64" s="1" t="str">
        <f>IF(OR(Table_0[[#This Row],[Table 0 (4).Fanduel Position]]="PG",Table_0[[#This Row],[Table 0 (4).Fanduel Position.2]]="PG"),Table_0[[#This Row],[IN]],"")</f>
        <v/>
      </c>
      <c r="Y64" s="1" t="str">
        <f>IF(OR(Table_0[[#This Row],[Table 0 (4).Fanduel Position]]="SG",Table_0[[#This Row],[Table 0 (4).Fanduel Position.2]]="SG"),Table_0[[#This Row],[IN]],"")</f>
        <v/>
      </c>
      <c r="Z64" s="1" t="str">
        <f>IF(OR(Table_0[[#This Row],[Table 0 (4).Fanduel Position]]="SF",Table_0[[#This Row],[Table 0 (4).Fanduel Position.2]]="SF"),Table_0[[#This Row],[IN]],"")</f>
        <v/>
      </c>
      <c r="AA64" s="1" t="str">
        <f>IF(OR(Table_0[[#This Row],[Table 0 (4).Fanduel Position]]="PF",Table_0[[#This Row],[Table 0 (4).Fanduel Position.2]]="PF"),Table_0[[#This Row],[IN]],"")</f>
        <v/>
      </c>
      <c r="AB64" s="1" t="str">
        <f>IF(OR(Table_0[[#This Row],[Table 0 (4).Fanduel Position]]="C",Table_0[[#This Row],[Table 0 (4).Fanduel Position.2]]="C"),Table_0[[#This Row],[IN]],"")</f>
        <v/>
      </c>
      <c r="AC64" s="1"/>
      <c r="AL64" t="str">
        <f t="shared" si="0"/>
        <v/>
      </c>
    </row>
    <row r="65" spans="1:38" x14ac:dyDescent="0.3">
      <c r="A65" s="1" t="s">
        <v>1395</v>
      </c>
      <c r="B65" s="1" t="s">
        <v>759</v>
      </c>
      <c r="C65" s="1" t="s">
        <v>408</v>
      </c>
      <c r="D65" s="1" t="s">
        <v>21</v>
      </c>
      <c r="E65" s="1"/>
      <c r="F65" s="3" t="s">
        <v>1396</v>
      </c>
      <c r="G65">
        <v>31.93</v>
      </c>
      <c r="H65" s="1" t="s">
        <v>1397</v>
      </c>
      <c r="I65" s="1" t="s">
        <v>20</v>
      </c>
      <c r="J65">
        <v>1.4</v>
      </c>
      <c r="K65">
        <v>34</v>
      </c>
      <c r="L65">
        <v>9700</v>
      </c>
      <c r="M65">
        <v>47.16</v>
      </c>
      <c r="N65">
        <v>30.39</v>
      </c>
      <c r="O65" s="1">
        <v>10200</v>
      </c>
      <c r="P65" s="1" t="s">
        <v>21</v>
      </c>
      <c r="Q65" s="1" t="s">
        <v>13</v>
      </c>
      <c r="R65">
        <v>6</v>
      </c>
      <c r="S65">
        <v>-7</v>
      </c>
      <c r="T65">
        <v>233.5</v>
      </c>
      <c r="U65">
        <v>46.9</v>
      </c>
      <c r="V65">
        <v>4.59</v>
      </c>
      <c r="W65">
        <v>0</v>
      </c>
      <c r="X65" s="1">
        <f>IF(OR(Table_0[[#This Row],[Table 0 (4).Fanduel Position]]="PG",Table_0[[#This Row],[Table 0 (4).Fanduel Position.2]]="PG"),Table_0[[#This Row],[IN]],"")</f>
        <v>0</v>
      </c>
      <c r="Y65" s="1">
        <f>IF(OR(Table_0[[#This Row],[Table 0 (4).Fanduel Position]]="SG",Table_0[[#This Row],[Table 0 (4).Fanduel Position.2]]="SG"),Table_0[[#This Row],[IN]],"")</f>
        <v>0</v>
      </c>
      <c r="Z65" s="1" t="str">
        <f>IF(OR(Table_0[[#This Row],[Table 0 (4).Fanduel Position]]="SF",Table_0[[#This Row],[Table 0 (4).Fanduel Position.2]]="SF"),Table_0[[#This Row],[IN]],"")</f>
        <v/>
      </c>
      <c r="AA65" s="1" t="str">
        <f>IF(OR(Table_0[[#This Row],[Table 0 (4).Fanduel Position]]="PF",Table_0[[#This Row],[Table 0 (4).Fanduel Position.2]]="PF"),Table_0[[#This Row],[IN]],"")</f>
        <v/>
      </c>
      <c r="AB65" s="1" t="str">
        <f>IF(OR(Table_0[[#This Row],[Table 0 (4).Fanduel Position]]="C",Table_0[[#This Row],[Table 0 (4).Fanduel Position.2]]="C"),Table_0[[#This Row],[IN]],"")</f>
        <v/>
      </c>
      <c r="AC65" s="1"/>
      <c r="AL65" t="str">
        <f t="shared" si="0"/>
        <v/>
      </c>
    </row>
    <row r="66" spans="1:38" x14ac:dyDescent="0.3">
      <c r="A66" s="1" t="s">
        <v>1398</v>
      </c>
      <c r="B66" s="1" t="s">
        <v>252</v>
      </c>
      <c r="C66" s="1" t="s">
        <v>251</v>
      </c>
      <c r="D66" s="1" t="s">
        <v>16</v>
      </c>
      <c r="E66" s="1"/>
      <c r="F66" s="3" t="s">
        <v>222</v>
      </c>
      <c r="G66">
        <v>33.700000000000003</v>
      </c>
      <c r="H66" s="1" t="s">
        <v>1399</v>
      </c>
      <c r="I66" s="1" t="s">
        <v>31</v>
      </c>
      <c r="J66">
        <v>1.19</v>
      </c>
      <c r="K66">
        <v>33</v>
      </c>
      <c r="L66">
        <v>8400</v>
      </c>
      <c r="M66">
        <v>41.41</v>
      </c>
      <c r="N66">
        <v>30.81</v>
      </c>
      <c r="O66" s="1">
        <v>8300</v>
      </c>
      <c r="P66" s="1" t="s">
        <v>13</v>
      </c>
      <c r="Q66" s="1" t="s">
        <v>14</v>
      </c>
      <c r="R66">
        <v>30</v>
      </c>
      <c r="S66">
        <v>-2</v>
      </c>
      <c r="T66">
        <v>235.5</v>
      </c>
      <c r="U66">
        <v>41</v>
      </c>
      <c r="V66">
        <v>4.9400000000000004</v>
      </c>
      <c r="W66">
        <v>1</v>
      </c>
      <c r="X66" s="1" t="str">
        <f>IF(OR(Table_0[[#This Row],[Table 0 (4).Fanduel Position]]="PG",Table_0[[#This Row],[Table 0 (4).Fanduel Position.2]]="PG"),Table_0[[#This Row],[IN]],"")</f>
        <v/>
      </c>
      <c r="Y66" s="1">
        <f>IF(OR(Table_0[[#This Row],[Table 0 (4).Fanduel Position]]="SG",Table_0[[#This Row],[Table 0 (4).Fanduel Position.2]]="SG"),Table_0[[#This Row],[IN]],"")</f>
        <v>1</v>
      </c>
      <c r="Z66" s="1">
        <f>IF(OR(Table_0[[#This Row],[Table 0 (4).Fanduel Position]]="SF",Table_0[[#This Row],[Table 0 (4).Fanduel Position.2]]="SF"),Table_0[[#This Row],[IN]],"")</f>
        <v>1</v>
      </c>
      <c r="AA66" s="1" t="str">
        <f>IF(OR(Table_0[[#This Row],[Table 0 (4).Fanduel Position]]="PF",Table_0[[#This Row],[Table 0 (4).Fanduel Position.2]]="PF"),Table_0[[#This Row],[IN]],"")</f>
        <v/>
      </c>
      <c r="AB66" s="1" t="str">
        <f>IF(OR(Table_0[[#This Row],[Table 0 (4).Fanduel Position]]="C",Table_0[[#This Row],[Table 0 (4).Fanduel Position.2]]="C"),Table_0[[#This Row],[IN]],"")</f>
        <v/>
      </c>
      <c r="AC66" s="1"/>
      <c r="AL66" t="str">
        <f t="shared" ref="AL66:AL129" si="1">IF(W65=1,B65,"")</f>
        <v/>
      </c>
    </row>
    <row r="67" spans="1:38" x14ac:dyDescent="0.3">
      <c r="A67" s="1" t="s">
        <v>281</v>
      </c>
      <c r="B67" s="1" t="s">
        <v>282</v>
      </c>
      <c r="C67" s="1" t="s">
        <v>257</v>
      </c>
      <c r="D67" s="1" t="s">
        <v>14</v>
      </c>
      <c r="E67" s="1" t="s">
        <v>16</v>
      </c>
      <c r="F67" s="3" t="s">
        <v>1364</v>
      </c>
      <c r="G67">
        <v>23.26</v>
      </c>
      <c r="H67" s="1" t="s">
        <v>1400</v>
      </c>
      <c r="I67" s="1" t="s">
        <v>15</v>
      </c>
      <c r="J67">
        <v>0.82</v>
      </c>
      <c r="K67">
        <v>19</v>
      </c>
      <c r="L67">
        <v>4200</v>
      </c>
      <c r="M67">
        <v>18.829999999999998</v>
      </c>
      <c r="N67">
        <v>28.02</v>
      </c>
      <c r="O67" s="1">
        <v>3900</v>
      </c>
      <c r="P67" s="1" t="s">
        <v>14</v>
      </c>
      <c r="Q67" s="1" t="s">
        <v>16</v>
      </c>
      <c r="R67">
        <v>20</v>
      </c>
      <c r="S67">
        <v>-6</v>
      </c>
      <c r="T67">
        <v>213</v>
      </c>
      <c r="U67">
        <v>14.5</v>
      </c>
      <c r="V67">
        <v>3.72</v>
      </c>
      <c r="W67">
        <v>0</v>
      </c>
      <c r="X67" s="1" t="str">
        <f>IF(OR(Table_0[[#This Row],[Table 0 (4).Fanduel Position]]="PG",Table_0[[#This Row],[Table 0 (4).Fanduel Position.2]]="PG"),Table_0[[#This Row],[IN]],"")</f>
        <v/>
      </c>
      <c r="Y67" s="1" t="str">
        <f>IF(OR(Table_0[[#This Row],[Table 0 (4).Fanduel Position]]="SG",Table_0[[#This Row],[Table 0 (4).Fanduel Position.2]]="SG"),Table_0[[#This Row],[IN]],"")</f>
        <v/>
      </c>
      <c r="Z67" s="1">
        <f>IF(OR(Table_0[[#This Row],[Table 0 (4).Fanduel Position]]="SF",Table_0[[#This Row],[Table 0 (4).Fanduel Position.2]]="SF"),Table_0[[#This Row],[IN]],"")</f>
        <v>0</v>
      </c>
      <c r="AA67" s="1">
        <f>IF(OR(Table_0[[#This Row],[Table 0 (4).Fanduel Position]]="PF",Table_0[[#This Row],[Table 0 (4).Fanduel Position.2]]="PF"),Table_0[[#This Row],[IN]],"")</f>
        <v>0</v>
      </c>
      <c r="AB67" s="1" t="str">
        <f>IF(OR(Table_0[[#This Row],[Table 0 (4).Fanduel Position]]="C",Table_0[[#This Row],[Table 0 (4).Fanduel Position.2]]="C"),Table_0[[#This Row],[IN]],"")</f>
        <v/>
      </c>
      <c r="AC67" s="1"/>
      <c r="AL67" t="str">
        <f t="shared" si="1"/>
        <v>DeRozan</v>
      </c>
    </row>
    <row r="68" spans="1:38" x14ac:dyDescent="0.3">
      <c r="A68" s="1" t="s">
        <v>1401</v>
      </c>
      <c r="B68" s="1" t="s">
        <v>868</v>
      </c>
      <c r="C68" s="1" t="s">
        <v>385</v>
      </c>
      <c r="D68" s="1" t="s">
        <v>21</v>
      </c>
      <c r="E68" s="1" t="s">
        <v>13</v>
      </c>
      <c r="F68" s="3" t="s">
        <v>1251</v>
      </c>
      <c r="G68">
        <v>32.07</v>
      </c>
      <c r="H68" s="1" t="s">
        <v>1402</v>
      </c>
      <c r="I68" s="1" t="s">
        <v>23</v>
      </c>
      <c r="J68">
        <v>0.92</v>
      </c>
      <c r="K68">
        <v>27</v>
      </c>
      <c r="L68">
        <v>4800</v>
      </c>
      <c r="M68">
        <v>27.73</v>
      </c>
      <c r="N68">
        <v>36.11</v>
      </c>
      <c r="O68" s="1">
        <v>5300</v>
      </c>
      <c r="P68" s="1" t="s">
        <v>21</v>
      </c>
      <c r="Q68" s="1" t="s">
        <v>13</v>
      </c>
      <c r="R68">
        <v>8</v>
      </c>
      <c r="S68">
        <v>-2</v>
      </c>
      <c r="T68">
        <v>211</v>
      </c>
      <c r="U68">
        <v>26.7</v>
      </c>
      <c r="V68">
        <v>5.03</v>
      </c>
      <c r="W68">
        <v>0</v>
      </c>
      <c r="X68" s="1">
        <f>IF(OR(Table_0[[#This Row],[Table 0 (4).Fanduel Position]]="PG",Table_0[[#This Row],[Table 0 (4).Fanduel Position.2]]="PG"),Table_0[[#This Row],[IN]],"")</f>
        <v>0</v>
      </c>
      <c r="Y68" s="1">
        <f>IF(OR(Table_0[[#This Row],[Table 0 (4).Fanduel Position]]="SG",Table_0[[#This Row],[Table 0 (4).Fanduel Position.2]]="SG"),Table_0[[#This Row],[IN]],"")</f>
        <v>0</v>
      </c>
      <c r="Z68" s="1" t="str">
        <f>IF(OR(Table_0[[#This Row],[Table 0 (4).Fanduel Position]]="SF",Table_0[[#This Row],[Table 0 (4).Fanduel Position.2]]="SF"),Table_0[[#This Row],[IN]],"")</f>
        <v/>
      </c>
      <c r="AA68" s="1" t="str">
        <f>IF(OR(Table_0[[#This Row],[Table 0 (4).Fanduel Position]]="PF",Table_0[[#This Row],[Table 0 (4).Fanduel Position.2]]="PF"),Table_0[[#This Row],[IN]],"")</f>
        <v/>
      </c>
      <c r="AB68" s="1" t="str">
        <f>IF(OR(Table_0[[#This Row],[Table 0 (4).Fanduel Position]]="C",Table_0[[#This Row],[Table 0 (4).Fanduel Position.2]]="C"),Table_0[[#This Row],[IN]],"")</f>
        <v/>
      </c>
      <c r="AC68" s="1"/>
      <c r="AL68" t="str">
        <f t="shared" si="1"/>
        <v/>
      </c>
    </row>
    <row r="69" spans="1:38" x14ac:dyDescent="0.3">
      <c r="A69" s="1" t="s">
        <v>1403</v>
      </c>
      <c r="B69" s="1" t="s">
        <v>1404</v>
      </c>
      <c r="C69" s="1" t="s">
        <v>427</v>
      </c>
      <c r="D69" s="1" t="s">
        <v>13</v>
      </c>
      <c r="E69" s="1"/>
      <c r="F69" s="3" t="s">
        <v>17</v>
      </c>
      <c r="G69">
        <v>16.690000000000001</v>
      </c>
      <c r="H69" s="1" t="s">
        <v>1405</v>
      </c>
      <c r="I69" s="1" t="s">
        <v>1352</v>
      </c>
      <c r="J69">
        <v>0.73</v>
      </c>
      <c r="K69">
        <v>0</v>
      </c>
      <c r="L69">
        <v>3000</v>
      </c>
      <c r="M69">
        <v>0</v>
      </c>
      <c r="N69">
        <v>0</v>
      </c>
      <c r="O69" s="1">
        <v>4600</v>
      </c>
      <c r="P69" s="1"/>
      <c r="Q69" s="1"/>
      <c r="W69">
        <v>0</v>
      </c>
      <c r="X69" s="1" t="str">
        <f>IF(OR(Table_0[[#This Row],[Table 0 (4).Fanduel Position]]="PG",Table_0[[#This Row],[Table 0 (4).Fanduel Position.2]]="PG"),Table_0[[#This Row],[IN]],"")</f>
        <v/>
      </c>
      <c r="Y69" s="1" t="str">
        <f>IF(OR(Table_0[[#This Row],[Table 0 (4).Fanduel Position]]="SG",Table_0[[#This Row],[Table 0 (4).Fanduel Position.2]]="SG"),Table_0[[#This Row],[IN]],"")</f>
        <v/>
      </c>
      <c r="Z69" s="1" t="str">
        <f>IF(OR(Table_0[[#This Row],[Table 0 (4).Fanduel Position]]="SF",Table_0[[#This Row],[Table 0 (4).Fanduel Position.2]]="SF"),Table_0[[#This Row],[IN]],"")</f>
        <v/>
      </c>
      <c r="AA69" s="1" t="str">
        <f>IF(OR(Table_0[[#This Row],[Table 0 (4).Fanduel Position]]="PF",Table_0[[#This Row],[Table 0 (4).Fanduel Position.2]]="PF"),Table_0[[#This Row],[IN]],"")</f>
        <v/>
      </c>
      <c r="AB69" s="1" t="str">
        <f>IF(OR(Table_0[[#This Row],[Table 0 (4).Fanduel Position]]="C",Table_0[[#This Row],[Table 0 (4).Fanduel Position.2]]="C"),Table_0[[#This Row],[IN]],"")</f>
        <v/>
      </c>
      <c r="AC69" s="1"/>
      <c r="AL69" t="str">
        <f t="shared" si="1"/>
        <v/>
      </c>
    </row>
    <row r="70" spans="1:38" x14ac:dyDescent="0.3">
      <c r="A70" s="1" t="s">
        <v>180</v>
      </c>
      <c r="B70" s="1" t="s">
        <v>1406</v>
      </c>
      <c r="C70" s="1" t="s">
        <v>251</v>
      </c>
      <c r="D70" s="1" t="s">
        <v>14</v>
      </c>
      <c r="E70" s="1" t="s">
        <v>16</v>
      </c>
      <c r="F70" s="3" t="s">
        <v>1407</v>
      </c>
      <c r="G70">
        <v>22.74</v>
      </c>
      <c r="H70" s="1" t="s">
        <v>1359</v>
      </c>
      <c r="I70" s="1" t="s">
        <v>1373</v>
      </c>
      <c r="J70">
        <v>0.83</v>
      </c>
      <c r="K70">
        <v>16</v>
      </c>
      <c r="L70">
        <v>3300</v>
      </c>
      <c r="M70">
        <v>14.87</v>
      </c>
      <c r="N70">
        <v>28.16</v>
      </c>
      <c r="O70" s="1">
        <v>3600</v>
      </c>
      <c r="P70" s="1"/>
      <c r="Q70" s="1"/>
      <c r="W70">
        <v>0</v>
      </c>
      <c r="X70" s="1" t="str">
        <f>IF(OR(Table_0[[#This Row],[Table 0 (4).Fanduel Position]]="PG",Table_0[[#This Row],[Table 0 (4).Fanduel Position.2]]="PG"),Table_0[[#This Row],[IN]],"")</f>
        <v/>
      </c>
      <c r="Y70" s="1" t="str">
        <f>IF(OR(Table_0[[#This Row],[Table 0 (4).Fanduel Position]]="SG",Table_0[[#This Row],[Table 0 (4).Fanduel Position.2]]="SG"),Table_0[[#This Row],[IN]],"")</f>
        <v/>
      </c>
      <c r="Z70" s="1" t="str">
        <f>IF(OR(Table_0[[#This Row],[Table 0 (4).Fanduel Position]]="SF",Table_0[[#This Row],[Table 0 (4).Fanduel Position.2]]="SF"),Table_0[[#This Row],[IN]],"")</f>
        <v/>
      </c>
      <c r="AA70" s="1" t="str">
        <f>IF(OR(Table_0[[#This Row],[Table 0 (4).Fanduel Position]]="PF",Table_0[[#This Row],[Table 0 (4).Fanduel Position.2]]="PF"),Table_0[[#This Row],[IN]],"")</f>
        <v/>
      </c>
      <c r="AB70" s="1" t="str">
        <f>IF(OR(Table_0[[#This Row],[Table 0 (4).Fanduel Position]]="C",Table_0[[#This Row],[Table 0 (4).Fanduel Position.2]]="C"),Table_0[[#This Row],[IN]],"")</f>
        <v/>
      </c>
      <c r="AC70" s="1"/>
      <c r="AL70" t="str">
        <f t="shared" si="1"/>
        <v/>
      </c>
    </row>
    <row r="71" spans="1:38" x14ac:dyDescent="0.3">
      <c r="A71" s="1" t="s">
        <v>180</v>
      </c>
      <c r="B71" s="1" t="s">
        <v>1408</v>
      </c>
      <c r="C71" s="1" t="s">
        <v>396</v>
      </c>
      <c r="D71" s="1" t="s">
        <v>21</v>
      </c>
      <c r="E71" s="1"/>
      <c r="F71" s="3" t="s">
        <v>17</v>
      </c>
      <c r="G71">
        <v>25.56</v>
      </c>
      <c r="H71" s="1" t="s">
        <v>1409</v>
      </c>
      <c r="I71" s="1" t="s">
        <v>1348</v>
      </c>
      <c r="J71">
        <v>1.05</v>
      </c>
      <c r="K71">
        <v>0</v>
      </c>
      <c r="L71">
        <v>6700</v>
      </c>
      <c r="M71">
        <v>0</v>
      </c>
      <c r="N71">
        <v>0</v>
      </c>
      <c r="O71" s="1">
        <v>4700</v>
      </c>
      <c r="P71" s="1" t="s">
        <v>21</v>
      </c>
      <c r="Q71" s="1" t="s">
        <v>13</v>
      </c>
      <c r="R71">
        <v>3</v>
      </c>
      <c r="S71">
        <v>2.5</v>
      </c>
      <c r="T71">
        <v>204.5</v>
      </c>
      <c r="U71">
        <v>0</v>
      </c>
      <c r="V71">
        <v>0</v>
      </c>
      <c r="W71">
        <v>0</v>
      </c>
      <c r="X71" s="1">
        <f>IF(OR(Table_0[[#This Row],[Table 0 (4).Fanduel Position]]="PG",Table_0[[#This Row],[Table 0 (4).Fanduel Position.2]]="PG"),Table_0[[#This Row],[IN]],"")</f>
        <v>0</v>
      </c>
      <c r="Y71" s="1">
        <f>IF(OR(Table_0[[#This Row],[Table 0 (4).Fanduel Position]]="SG",Table_0[[#This Row],[Table 0 (4).Fanduel Position.2]]="SG"),Table_0[[#This Row],[IN]],"")</f>
        <v>0</v>
      </c>
      <c r="Z71" s="1" t="str">
        <f>IF(OR(Table_0[[#This Row],[Table 0 (4).Fanduel Position]]="SF",Table_0[[#This Row],[Table 0 (4).Fanduel Position.2]]="SF"),Table_0[[#This Row],[IN]],"")</f>
        <v/>
      </c>
      <c r="AA71" s="1" t="str">
        <f>IF(OR(Table_0[[#This Row],[Table 0 (4).Fanduel Position]]="PF",Table_0[[#This Row],[Table 0 (4).Fanduel Position.2]]="PF"),Table_0[[#This Row],[IN]],"")</f>
        <v/>
      </c>
      <c r="AB71" s="1" t="str">
        <f>IF(OR(Table_0[[#This Row],[Table 0 (4).Fanduel Position]]="C",Table_0[[#This Row],[Table 0 (4).Fanduel Position.2]]="C"),Table_0[[#This Row],[IN]],"")</f>
        <v/>
      </c>
      <c r="AC71" s="1"/>
      <c r="AL71" t="str">
        <f t="shared" si="1"/>
        <v/>
      </c>
    </row>
    <row r="72" spans="1:38" x14ac:dyDescent="0.3">
      <c r="A72" s="1" t="s">
        <v>1410</v>
      </c>
      <c r="B72" s="1" t="s">
        <v>1411</v>
      </c>
      <c r="C72" s="1" t="s">
        <v>408</v>
      </c>
      <c r="D72" s="1" t="s">
        <v>14</v>
      </c>
      <c r="E72" s="1" t="s">
        <v>16</v>
      </c>
      <c r="F72" s="3" t="s">
        <v>221</v>
      </c>
      <c r="G72">
        <v>17.02</v>
      </c>
      <c r="H72" s="1" t="s">
        <v>1412</v>
      </c>
      <c r="I72" s="1" t="s">
        <v>25</v>
      </c>
      <c r="J72">
        <v>0.9</v>
      </c>
      <c r="K72">
        <v>24</v>
      </c>
      <c r="L72">
        <v>4100</v>
      </c>
      <c r="M72">
        <v>22.23</v>
      </c>
      <c r="N72">
        <v>33.89</v>
      </c>
      <c r="O72" s="1">
        <v>5000</v>
      </c>
      <c r="P72" s="1" t="s">
        <v>13</v>
      </c>
      <c r="Q72" s="1"/>
      <c r="R72">
        <v>18</v>
      </c>
      <c r="S72">
        <v>-7</v>
      </c>
      <c r="T72">
        <v>233.5</v>
      </c>
      <c r="U72">
        <v>21.3</v>
      </c>
      <c r="V72">
        <v>4.26</v>
      </c>
      <c r="W72">
        <v>0</v>
      </c>
      <c r="X72" s="1" t="str">
        <f>IF(OR(Table_0[[#This Row],[Table 0 (4).Fanduel Position]]="PG",Table_0[[#This Row],[Table 0 (4).Fanduel Position.2]]="PG"),Table_0[[#This Row],[IN]],"")</f>
        <v/>
      </c>
      <c r="Y72" s="1">
        <f>IF(OR(Table_0[[#This Row],[Table 0 (4).Fanduel Position]]="SG",Table_0[[#This Row],[Table 0 (4).Fanduel Position.2]]="SG"),Table_0[[#This Row],[IN]],"")</f>
        <v>0</v>
      </c>
      <c r="Z72" s="1" t="str">
        <f>IF(OR(Table_0[[#This Row],[Table 0 (4).Fanduel Position]]="SF",Table_0[[#This Row],[Table 0 (4).Fanduel Position.2]]="SF"),Table_0[[#This Row],[IN]],"")</f>
        <v/>
      </c>
      <c r="AA72" s="1" t="str">
        <f>IF(OR(Table_0[[#This Row],[Table 0 (4).Fanduel Position]]="PF",Table_0[[#This Row],[Table 0 (4).Fanduel Position.2]]="PF"),Table_0[[#This Row],[IN]],"")</f>
        <v/>
      </c>
      <c r="AB72" s="1" t="str">
        <f>IF(OR(Table_0[[#This Row],[Table 0 (4).Fanduel Position]]="C",Table_0[[#This Row],[Table 0 (4).Fanduel Position.2]]="C"),Table_0[[#This Row],[IN]],"")</f>
        <v/>
      </c>
      <c r="AC72" s="1"/>
      <c r="AL72" t="str">
        <f t="shared" si="1"/>
        <v/>
      </c>
    </row>
    <row r="73" spans="1:38" x14ac:dyDescent="0.3">
      <c r="A73" s="1" t="s">
        <v>1413</v>
      </c>
      <c r="B73" s="1" t="s">
        <v>897</v>
      </c>
      <c r="C73" s="1" t="s">
        <v>408</v>
      </c>
      <c r="D73" s="1" t="s">
        <v>18</v>
      </c>
      <c r="E73" s="1"/>
      <c r="F73" s="3" t="s">
        <v>17</v>
      </c>
      <c r="G73">
        <v>4.8499999999999996</v>
      </c>
      <c r="H73" s="1" t="s">
        <v>1414</v>
      </c>
      <c r="I73" s="1" t="s">
        <v>37</v>
      </c>
      <c r="J73">
        <v>1.37</v>
      </c>
      <c r="K73">
        <v>0</v>
      </c>
      <c r="L73">
        <v>3400</v>
      </c>
      <c r="M73">
        <v>0</v>
      </c>
      <c r="N73">
        <v>0</v>
      </c>
      <c r="O73" s="1">
        <v>3900</v>
      </c>
      <c r="P73" s="1" t="s">
        <v>16</v>
      </c>
      <c r="Q73" s="1" t="s">
        <v>18</v>
      </c>
      <c r="R73">
        <v>30</v>
      </c>
      <c r="S73">
        <v>-7</v>
      </c>
      <c r="T73">
        <v>233.5</v>
      </c>
      <c r="U73">
        <v>24.4</v>
      </c>
      <c r="V73">
        <v>6.26</v>
      </c>
      <c r="W73">
        <v>0</v>
      </c>
      <c r="X73" s="1" t="str">
        <f>IF(OR(Table_0[[#This Row],[Table 0 (4).Fanduel Position]]="PG",Table_0[[#This Row],[Table 0 (4).Fanduel Position.2]]="PG"),Table_0[[#This Row],[IN]],"")</f>
        <v/>
      </c>
      <c r="Y73" s="1" t="str">
        <f>IF(OR(Table_0[[#This Row],[Table 0 (4).Fanduel Position]]="SG",Table_0[[#This Row],[Table 0 (4).Fanduel Position.2]]="SG"),Table_0[[#This Row],[IN]],"")</f>
        <v/>
      </c>
      <c r="Z73" s="1" t="str">
        <f>IF(OR(Table_0[[#This Row],[Table 0 (4).Fanduel Position]]="SF",Table_0[[#This Row],[Table 0 (4).Fanduel Position.2]]="SF"),Table_0[[#This Row],[IN]],"")</f>
        <v/>
      </c>
      <c r="AA73" s="1">
        <f>IF(OR(Table_0[[#This Row],[Table 0 (4).Fanduel Position]]="PF",Table_0[[#This Row],[Table 0 (4).Fanduel Position.2]]="PF"),Table_0[[#This Row],[IN]],"")</f>
        <v>0</v>
      </c>
      <c r="AB73" s="1">
        <f>IF(OR(Table_0[[#This Row],[Table 0 (4).Fanduel Position]]="C",Table_0[[#This Row],[Table 0 (4).Fanduel Position.2]]="C"),Table_0[[#This Row],[IN]],"")</f>
        <v>0</v>
      </c>
      <c r="AC73" s="1"/>
      <c r="AL73" t="str">
        <f t="shared" si="1"/>
        <v/>
      </c>
    </row>
    <row r="74" spans="1:38" x14ac:dyDescent="0.3">
      <c r="A74" s="1" t="s">
        <v>1415</v>
      </c>
      <c r="B74" s="1" t="s">
        <v>769</v>
      </c>
      <c r="C74" s="1" t="s">
        <v>392</v>
      </c>
      <c r="D74" s="1" t="s">
        <v>16</v>
      </c>
      <c r="E74" s="1" t="s">
        <v>18</v>
      </c>
      <c r="F74" s="3" t="s">
        <v>1375</v>
      </c>
      <c r="G74">
        <v>35.979999999999997</v>
      </c>
      <c r="H74" s="1" t="s">
        <v>1416</v>
      </c>
      <c r="I74" s="1" t="s">
        <v>1417</v>
      </c>
      <c r="J74">
        <v>1.28</v>
      </c>
      <c r="K74">
        <v>35</v>
      </c>
      <c r="L74">
        <v>10000</v>
      </c>
      <c r="M74">
        <v>50.34</v>
      </c>
      <c r="N74">
        <v>31.46</v>
      </c>
      <c r="O74" s="1">
        <v>10300</v>
      </c>
      <c r="P74" s="1" t="s">
        <v>16</v>
      </c>
      <c r="Q74" s="1" t="s">
        <v>18</v>
      </c>
      <c r="R74">
        <v>26</v>
      </c>
      <c r="S74">
        <v>2</v>
      </c>
      <c r="T74">
        <v>211</v>
      </c>
      <c r="U74">
        <v>42.7</v>
      </c>
      <c r="V74">
        <v>4.1399999999999997</v>
      </c>
      <c r="W74">
        <v>0</v>
      </c>
      <c r="X74" s="1" t="str">
        <f>IF(OR(Table_0[[#This Row],[Table 0 (4).Fanduel Position]]="PG",Table_0[[#This Row],[Table 0 (4).Fanduel Position.2]]="PG"),Table_0[[#This Row],[IN]],"")</f>
        <v/>
      </c>
      <c r="Y74" s="1" t="str">
        <f>IF(OR(Table_0[[#This Row],[Table 0 (4).Fanduel Position]]="SG",Table_0[[#This Row],[Table 0 (4).Fanduel Position.2]]="SG"),Table_0[[#This Row],[IN]],"")</f>
        <v/>
      </c>
      <c r="Z74" s="1" t="str">
        <f>IF(OR(Table_0[[#This Row],[Table 0 (4).Fanduel Position]]="SF",Table_0[[#This Row],[Table 0 (4).Fanduel Position.2]]="SF"),Table_0[[#This Row],[IN]],"")</f>
        <v/>
      </c>
      <c r="AA74" s="1">
        <f>IF(OR(Table_0[[#This Row],[Table 0 (4).Fanduel Position]]="PF",Table_0[[#This Row],[Table 0 (4).Fanduel Position.2]]="PF"),Table_0[[#This Row],[IN]],"")</f>
        <v>0</v>
      </c>
      <c r="AB74" s="1">
        <f>IF(OR(Table_0[[#This Row],[Table 0 (4).Fanduel Position]]="C",Table_0[[#This Row],[Table 0 (4).Fanduel Position.2]]="C"),Table_0[[#This Row],[IN]],"")</f>
        <v>0</v>
      </c>
      <c r="AC74" s="1"/>
      <c r="AL74" t="str">
        <f t="shared" si="1"/>
        <v/>
      </c>
    </row>
    <row r="75" spans="1:38" x14ac:dyDescent="0.3">
      <c r="A75" s="1" t="s">
        <v>1191</v>
      </c>
      <c r="B75" s="1" t="s">
        <v>1418</v>
      </c>
      <c r="C75" s="1" t="s">
        <v>408</v>
      </c>
      <c r="D75" s="1" t="s">
        <v>14</v>
      </c>
      <c r="E75" s="1"/>
      <c r="F75" s="3" t="s">
        <v>17</v>
      </c>
      <c r="G75">
        <v>24.53</v>
      </c>
      <c r="H75" s="1" t="s">
        <v>1261</v>
      </c>
      <c r="I75" s="1" t="s">
        <v>1419</v>
      </c>
      <c r="J75">
        <v>0.75</v>
      </c>
      <c r="K75">
        <v>0</v>
      </c>
      <c r="L75">
        <v>3800</v>
      </c>
      <c r="M75">
        <v>0</v>
      </c>
      <c r="N75">
        <v>0</v>
      </c>
      <c r="O75" s="1">
        <v>3600</v>
      </c>
      <c r="P75" s="1" t="s">
        <v>16</v>
      </c>
      <c r="Q75" s="1" t="s">
        <v>14</v>
      </c>
      <c r="R75">
        <v>18</v>
      </c>
      <c r="S75">
        <v>-7</v>
      </c>
      <c r="T75">
        <v>233.5</v>
      </c>
      <c r="U75">
        <v>0</v>
      </c>
      <c r="V75">
        <v>0</v>
      </c>
      <c r="W75">
        <v>0</v>
      </c>
      <c r="X75" s="1" t="str">
        <f>IF(OR(Table_0[[#This Row],[Table 0 (4).Fanduel Position]]="PG",Table_0[[#This Row],[Table 0 (4).Fanduel Position.2]]="PG"),Table_0[[#This Row],[IN]],"")</f>
        <v/>
      </c>
      <c r="Y75" s="1" t="str">
        <f>IF(OR(Table_0[[#This Row],[Table 0 (4).Fanduel Position]]="SG",Table_0[[#This Row],[Table 0 (4).Fanduel Position.2]]="SG"),Table_0[[#This Row],[IN]],"")</f>
        <v/>
      </c>
      <c r="Z75" s="1">
        <f>IF(OR(Table_0[[#This Row],[Table 0 (4).Fanduel Position]]="SF",Table_0[[#This Row],[Table 0 (4).Fanduel Position.2]]="SF"),Table_0[[#This Row],[IN]],"")</f>
        <v>0</v>
      </c>
      <c r="AA75" s="1">
        <f>IF(OR(Table_0[[#This Row],[Table 0 (4).Fanduel Position]]="PF",Table_0[[#This Row],[Table 0 (4).Fanduel Position.2]]="PF"),Table_0[[#This Row],[IN]],"")</f>
        <v>0</v>
      </c>
      <c r="AB75" s="1" t="str">
        <f>IF(OR(Table_0[[#This Row],[Table 0 (4).Fanduel Position]]="C",Table_0[[#This Row],[Table 0 (4).Fanduel Position.2]]="C"),Table_0[[#This Row],[IN]],"")</f>
        <v/>
      </c>
      <c r="AC75" s="1"/>
      <c r="AL75" t="str">
        <f t="shared" si="1"/>
        <v/>
      </c>
    </row>
    <row r="76" spans="1:38" x14ac:dyDescent="0.3">
      <c r="A76" s="1" t="s">
        <v>1126</v>
      </c>
      <c r="B76" s="1" t="s">
        <v>1127</v>
      </c>
      <c r="C76" s="1" t="s">
        <v>408</v>
      </c>
      <c r="D76" s="1" t="s">
        <v>18</v>
      </c>
      <c r="E76" s="1"/>
      <c r="F76" s="3" t="s">
        <v>17</v>
      </c>
      <c r="G76">
        <v>13.98</v>
      </c>
      <c r="H76" s="1" t="s">
        <v>1420</v>
      </c>
      <c r="I76" s="1" t="s">
        <v>15</v>
      </c>
      <c r="J76">
        <v>1.1100000000000001</v>
      </c>
      <c r="K76">
        <v>0</v>
      </c>
      <c r="L76">
        <v>3000</v>
      </c>
      <c r="M76">
        <v>0</v>
      </c>
      <c r="N76">
        <v>0</v>
      </c>
      <c r="O76" s="1">
        <v>3800</v>
      </c>
      <c r="P76" s="1" t="s">
        <v>18</v>
      </c>
      <c r="Q76" s="1" t="s">
        <v>16</v>
      </c>
      <c r="R76">
        <v>30</v>
      </c>
      <c r="S76">
        <v>-7</v>
      </c>
      <c r="T76">
        <v>233.5</v>
      </c>
      <c r="U76">
        <v>8.1999999999999993</v>
      </c>
      <c r="V76">
        <v>2.16</v>
      </c>
      <c r="W76">
        <v>0</v>
      </c>
      <c r="X76" s="1" t="str">
        <f>IF(OR(Table_0[[#This Row],[Table 0 (4).Fanduel Position]]="PG",Table_0[[#This Row],[Table 0 (4).Fanduel Position.2]]="PG"),Table_0[[#This Row],[IN]],"")</f>
        <v/>
      </c>
      <c r="Y76" s="1" t="str">
        <f>IF(OR(Table_0[[#This Row],[Table 0 (4).Fanduel Position]]="SG",Table_0[[#This Row],[Table 0 (4).Fanduel Position.2]]="SG"),Table_0[[#This Row],[IN]],"")</f>
        <v/>
      </c>
      <c r="Z76" s="1" t="str">
        <f>IF(OR(Table_0[[#This Row],[Table 0 (4).Fanduel Position]]="SF",Table_0[[#This Row],[Table 0 (4).Fanduel Position.2]]="SF"),Table_0[[#This Row],[IN]],"")</f>
        <v/>
      </c>
      <c r="AA76" s="1">
        <f>IF(OR(Table_0[[#This Row],[Table 0 (4).Fanduel Position]]="PF",Table_0[[#This Row],[Table 0 (4).Fanduel Position.2]]="PF"),Table_0[[#This Row],[IN]],"")</f>
        <v>0</v>
      </c>
      <c r="AB76" s="1">
        <f>IF(OR(Table_0[[#This Row],[Table 0 (4).Fanduel Position]]="C",Table_0[[#This Row],[Table 0 (4).Fanduel Position.2]]="C"),Table_0[[#This Row],[IN]],"")</f>
        <v>0</v>
      </c>
      <c r="AC76" s="1"/>
      <c r="AL76" t="str">
        <f t="shared" si="1"/>
        <v/>
      </c>
    </row>
    <row r="77" spans="1:38" x14ac:dyDescent="0.3">
      <c r="A77" s="1" t="s">
        <v>1421</v>
      </c>
      <c r="B77" s="1" t="s">
        <v>1422</v>
      </c>
      <c r="C77" s="1" t="s">
        <v>392</v>
      </c>
      <c r="D77" s="1" t="s">
        <v>21</v>
      </c>
      <c r="E77" s="1" t="s">
        <v>13</v>
      </c>
      <c r="F77" s="3" t="s">
        <v>17</v>
      </c>
      <c r="G77">
        <v>0</v>
      </c>
      <c r="H77" s="1" t="s">
        <v>1423</v>
      </c>
      <c r="I77" s="1" t="s">
        <v>1424</v>
      </c>
      <c r="J77">
        <v>0.79</v>
      </c>
      <c r="K77">
        <v>0</v>
      </c>
      <c r="L77">
        <v>4700</v>
      </c>
      <c r="M77">
        <v>0</v>
      </c>
      <c r="N77">
        <v>0</v>
      </c>
      <c r="O77" s="1">
        <v>4100</v>
      </c>
      <c r="P77" s="1"/>
      <c r="Q77" s="1"/>
      <c r="W77">
        <v>0</v>
      </c>
      <c r="X77" s="1" t="str">
        <f>IF(OR(Table_0[[#This Row],[Table 0 (4).Fanduel Position]]="PG",Table_0[[#This Row],[Table 0 (4).Fanduel Position.2]]="PG"),Table_0[[#This Row],[IN]],"")</f>
        <v/>
      </c>
      <c r="Y77" s="1" t="str">
        <f>IF(OR(Table_0[[#This Row],[Table 0 (4).Fanduel Position]]="SG",Table_0[[#This Row],[Table 0 (4).Fanduel Position.2]]="SG"),Table_0[[#This Row],[IN]],"")</f>
        <v/>
      </c>
      <c r="Z77" s="1" t="str">
        <f>IF(OR(Table_0[[#This Row],[Table 0 (4).Fanduel Position]]="SF",Table_0[[#This Row],[Table 0 (4).Fanduel Position.2]]="SF"),Table_0[[#This Row],[IN]],"")</f>
        <v/>
      </c>
      <c r="AA77" s="1" t="str">
        <f>IF(OR(Table_0[[#This Row],[Table 0 (4).Fanduel Position]]="PF",Table_0[[#This Row],[Table 0 (4).Fanduel Position.2]]="PF"),Table_0[[#This Row],[IN]],"")</f>
        <v/>
      </c>
      <c r="AB77" s="1" t="str">
        <f>IF(OR(Table_0[[#This Row],[Table 0 (4).Fanduel Position]]="C",Table_0[[#This Row],[Table 0 (4).Fanduel Position.2]]="C"),Table_0[[#This Row],[IN]],"")</f>
        <v/>
      </c>
      <c r="AC77" s="1"/>
      <c r="AL77" t="str">
        <f t="shared" si="1"/>
        <v/>
      </c>
    </row>
    <row r="78" spans="1:38" x14ac:dyDescent="0.3">
      <c r="A78" s="1" t="s">
        <v>1425</v>
      </c>
      <c r="B78" s="1" t="s">
        <v>1136</v>
      </c>
      <c r="C78" s="1" t="s">
        <v>428</v>
      </c>
      <c r="D78" s="1" t="s">
        <v>13</v>
      </c>
      <c r="E78" s="1" t="s">
        <v>14</v>
      </c>
      <c r="F78" s="3" t="s">
        <v>1426</v>
      </c>
      <c r="G78">
        <v>16.52</v>
      </c>
      <c r="H78" s="1" t="s">
        <v>1427</v>
      </c>
      <c r="I78" s="1" t="s">
        <v>362</v>
      </c>
      <c r="J78">
        <v>0.75</v>
      </c>
      <c r="K78">
        <v>14</v>
      </c>
      <c r="L78">
        <v>3000</v>
      </c>
      <c r="M78">
        <v>8.99</v>
      </c>
      <c r="N78">
        <v>18.73</v>
      </c>
      <c r="O78" s="1">
        <v>3600</v>
      </c>
      <c r="P78" s="1" t="s">
        <v>13</v>
      </c>
      <c r="Q78" s="1"/>
      <c r="R78">
        <v>23</v>
      </c>
      <c r="S78">
        <v>5.5</v>
      </c>
      <c r="T78">
        <v>222.5</v>
      </c>
      <c r="U78">
        <v>7.1</v>
      </c>
      <c r="V78">
        <v>1.98</v>
      </c>
      <c r="W78">
        <v>0</v>
      </c>
      <c r="X78" s="1" t="str">
        <f>IF(OR(Table_0[[#This Row],[Table 0 (4).Fanduel Position]]="PG",Table_0[[#This Row],[Table 0 (4).Fanduel Position.2]]="PG"),Table_0[[#This Row],[IN]],"")</f>
        <v/>
      </c>
      <c r="Y78" s="1">
        <f>IF(OR(Table_0[[#This Row],[Table 0 (4).Fanduel Position]]="SG",Table_0[[#This Row],[Table 0 (4).Fanduel Position.2]]="SG"),Table_0[[#This Row],[IN]],"")</f>
        <v>0</v>
      </c>
      <c r="Z78" s="1" t="str">
        <f>IF(OR(Table_0[[#This Row],[Table 0 (4).Fanduel Position]]="SF",Table_0[[#This Row],[Table 0 (4).Fanduel Position.2]]="SF"),Table_0[[#This Row],[IN]],"")</f>
        <v/>
      </c>
      <c r="AA78" s="1" t="str">
        <f>IF(OR(Table_0[[#This Row],[Table 0 (4).Fanduel Position]]="PF",Table_0[[#This Row],[Table 0 (4).Fanduel Position.2]]="PF"),Table_0[[#This Row],[IN]],"")</f>
        <v/>
      </c>
      <c r="AB78" s="1" t="str">
        <f>IF(OR(Table_0[[#This Row],[Table 0 (4).Fanduel Position]]="C",Table_0[[#This Row],[Table 0 (4).Fanduel Position.2]]="C"),Table_0[[#This Row],[IN]],"")</f>
        <v/>
      </c>
      <c r="AC78" s="1"/>
      <c r="AL78" t="str">
        <f t="shared" si="1"/>
        <v/>
      </c>
    </row>
    <row r="79" spans="1:38" x14ac:dyDescent="0.3">
      <c r="A79" s="1" t="s">
        <v>1428</v>
      </c>
      <c r="B79" s="1" t="s">
        <v>1068</v>
      </c>
      <c r="C79" s="1" t="s">
        <v>428</v>
      </c>
      <c r="D79" s="1" t="s">
        <v>18</v>
      </c>
      <c r="E79" s="1"/>
      <c r="F79" s="3" t="s">
        <v>17</v>
      </c>
      <c r="G79">
        <v>12.96</v>
      </c>
      <c r="H79" s="1" t="s">
        <v>362</v>
      </c>
      <c r="I79" s="1" t="s">
        <v>1429</v>
      </c>
      <c r="J79">
        <v>0.8</v>
      </c>
      <c r="K79">
        <v>0</v>
      </c>
      <c r="L79">
        <v>3000</v>
      </c>
      <c r="M79">
        <v>0</v>
      </c>
      <c r="N79">
        <v>0</v>
      </c>
      <c r="O79" s="1">
        <v>3500</v>
      </c>
      <c r="P79" s="1"/>
      <c r="Q79" s="1"/>
      <c r="W79">
        <v>0</v>
      </c>
      <c r="X79" s="1" t="str">
        <f>IF(OR(Table_0[[#This Row],[Table 0 (4).Fanduel Position]]="PG",Table_0[[#This Row],[Table 0 (4).Fanduel Position.2]]="PG"),Table_0[[#This Row],[IN]],"")</f>
        <v/>
      </c>
      <c r="Y79" s="1" t="str">
        <f>IF(OR(Table_0[[#This Row],[Table 0 (4).Fanduel Position]]="SG",Table_0[[#This Row],[Table 0 (4).Fanduel Position.2]]="SG"),Table_0[[#This Row],[IN]],"")</f>
        <v/>
      </c>
      <c r="Z79" s="1" t="str">
        <f>IF(OR(Table_0[[#This Row],[Table 0 (4).Fanduel Position]]="SF",Table_0[[#This Row],[Table 0 (4).Fanduel Position.2]]="SF"),Table_0[[#This Row],[IN]],"")</f>
        <v/>
      </c>
      <c r="AA79" s="1" t="str">
        <f>IF(OR(Table_0[[#This Row],[Table 0 (4).Fanduel Position]]="PF",Table_0[[#This Row],[Table 0 (4).Fanduel Position.2]]="PF"),Table_0[[#This Row],[IN]],"")</f>
        <v/>
      </c>
      <c r="AB79" s="1" t="str">
        <f>IF(OR(Table_0[[#This Row],[Table 0 (4).Fanduel Position]]="C",Table_0[[#This Row],[Table 0 (4).Fanduel Position.2]]="C"),Table_0[[#This Row],[IN]],"")</f>
        <v/>
      </c>
      <c r="AC79" s="1"/>
      <c r="AL79" t="str">
        <f t="shared" si="1"/>
        <v/>
      </c>
    </row>
    <row r="80" spans="1:38" x14ac:dyDescent="0.3">
      <c r="A80" s="1" t="s">
        <v>1430</v>
      </c>
      <c r="B80" s="1" t="s">
        <v>1431</v>
      </c>
      <c r="C80" s="1" t="s">
        <v>427</v>
      </c>
      <c r="D80" s="1" t="s">
        <v>14</v>
      </c>
      <c r="E80" s="1"/>
      <c r="F80" s="3" t="s">
        <v>17</v>
      </c>
      <c r="G80">
        <v>3.5</v>
      </c>
      <c r="H80" s="1" t="s">
        <v>1432</v>
      </c>
      <c r="I80" s="1" t="s">
        <v>1433</v>
      </c>
      <c r="J80">
        <v>0.76</v>
      </c>
      <c r="K80">
        <v>0</v>
      </c>
      <c r="L80">
        <v>3000</v>
      </c>
      <c r="M80">
        <v>0</v>
      </c>
      <c r="N80">
        <v>0</v>
      </c>
      <c r="O80" s="1">
        <v>4000</v>
      </c>
      <c r="P80" s="1" t="s">
        <v>14</v>
      </c>
      <c r="Q80" s="1"/>
      <c r="R80">
        <v>6</v>
      </c>
      <c r="S80">
        <v>-5.5</v>
      </c>
      <c r="T80">
        <v>222.5</v>
      </c>
      <c r="U80">
        <v>0</v>
      </c>
      <c r="V80">
        <v>0</v>
      </c>
      <c r="W80">
        <v>0</v>
      </c>
      <c r="X80" s="1" t="str">
        <f>IF(OR(Table_0[[#This Row],[Table 0 (4).Fanduel Position]]="PG",Table_0[[#This Row],[Table 0 (4).Fanduel Position.2]]="PG"),Table_0[[#This Row],[IN]],"")</f>
        <v/>
      </c>
      <c r="Y80" s="1" t="str">
        <f>IF(OR(Table_0[[#This Row],[Table 0 (4).Fanduel Position]]="SG",Table_0[[#This Row],[Table 0 (4).Fanduel Position.2]]="SG"),Table_0[[#This Row],[IN]],"")</f>
        <v/>
      </c>
      <c r="Z80" s="1">
        <f>IF(OR(Table_0[[#This Row],[Table 0 (4).Fanduel Position]]="SF",Table_0[[#This Row],[Table 0 (4).Fanduel Position.2]]="SF"),Table_0[[#This Row],[IN]],"")</f>
        <v>0</v>
      </c>
      <c r="AA80" s="1" t="str">
        <f>IF(OR(Table_0[[#This Row],[Table 0 (4).Fanduel Position]]="PF",Table_0[[#This Row],[Table 0 (4).Fanduel Position.2]]="PF"),Table_0[[#This Row],[IN]],"")</f>
        <v/>
      </c>
      <c r="AB80" s="1" t="str">
        <f>IF(OR(Table_0[[#This Row],[Table 0 (4).Fanduel Position]]="C",Table_0[[#This Row],[Table 0 (4).Fanduel Position.2]]="C"),Table_0[[#This Row],[IN]],"")</f>
        <v/>
      </c>
      <c r="AC80" s="1"/>
      <c r="AL80" t="str">
        <f t="shared" si="1"/>
        <v/>
      </c>
    </row>
    <row r="81" spans="1:38" x14ac:dyDescent="0.3">
      <c r="A81" s="1" t="s">
        <v>1434</v>
      </c>
      <c r="B81" s="1" t="s">
        <v>1435</v>
      </c>
      <c r="C81" s="1" t="s">
        <v>388</v>
      </c>
      <c r="D81" s="1" t="s">
        <v>21</v>
      </c>
      <c r="E81" s="1"/>
      <c r="F81" s="3" t="s">
        <v>376</v>
      </c>
      <c r="G81">
        <v>15.72</v>
      </c>
      <c r="H81" s="1" t="s">
        <v>372</v>
      </c>
      <c r="I81" s="1" t="s">
        <v>1436</v>
      </c>
      <c r="J81">
        <v>0.87</v>
      </c>
      <c r="K81">
        <v>1</v>
      </c>
      <c r="L81">
        <v>3000</v>
      </c>
      <c r="M81">
        <v>0.83</v>
      </c>
      <c r="N81">
        <v>1.73</v>
      </c>
      <c r="O81" s="1">
        <v>100000</v>
      </c>
      <c r="P81" s="1" t="s">
        <v>21</v>
      </c>
      <c r="Q81" s="1" t="s">
        <v>13</v>
      </c>
      <c r="R81">
        <v>6</v>
      </c>
      <c r="S81">
        <v>-7</v>
      </c>
      <c r="T81">
        <v>233.5</v>
      </c>
      <c r="U81">
        <v>46.9</v>
      </c>
      <c r="V81">
        <v>4.59</v>
      </c>
      <c r="W81">
        <v>0</v>
      </c>
      <c r="X81" s="1">
        <f>IF(OR(Table_0[[#This Row],[Table 0 (4).Fanduel Position]]="PG",Table_0[[#This Row],[Table 0 (4).Fanduel Position.2]]="PG"),Table_0[[#This Row],[IN]],"")</f>
        <v>0</v>
      </c>
      <c r="Y81" s="1">
        <f>IF(OR(Table_0[[#This Row],[Table 0 (4).Fanduel Position]]="SG",Table_0[[#This Row],[Table 0 (4).Fanduel Position.2]]="SG"),Table_0[[#This Row],[IN]],"")</f>
        <v>0</v>
      </c>
      <c r="Z81" s="1" t="str">
        <f>IF(OR(Table_0[[#This Row],[Table 0 (4).Fanduel Position]]="SF",Table_0[[#This Row],[Table 0 (4).Fanduel Position.2]]="SF"),Table_0[[#This Row],[IN]],"")</f>
        <v/>
      </c>
      <c r="AA81" s="1" t="str">
        <f>IF(OR(Table_0[[#This Row],[Table 0 (4).Fanduel Position]]="PF",Table_0[[#This Row],[Table 0 (4).Fanduel Position.2]]="PF"),Table_0[[#This Row],[IN]],"")</f>
        <v/>
      </c>
      <c r="AB81" s="1" t="str">
        <f>IF(OR(Table_0[[#This Row],[Table 0 (4).Fanduel Position]]="C",Table_0[[#This Row],[Table 0 (4).Fanduel Position.2]]="C"),Table_0[[#This Row],[IN]],"")</f>
        <v/>
      </c>
      <c r="AC81" s="1"/>
      <c r="AL81" t="str">
        <f t="shared" si="1"/>
        <v/>
      </c>
    </row>
    <row r="82" spans="1:38" x14ac:dyDescent="0.3">
      <c r="A82" s="1" t="s">
        <v>1033</v>
      </c>
      <c r="B82" s="1" t="s">
        <v>1034</v>
      </c>
      <c r="C82" s="1" t="s">
        <v>385</v>
      </c>
      <c r="D82" s="1" t="s">
        <v>18</v>
      </c>
      <c r="E82" s="1"/>
      <c r="F82" s="3" t="s">
        <v>366</v>
      </c>
      <c r="G82">
        <v>24.4</v>
      </c>
      <c r="H82" s="1" t="s">
        <v>1437</v>
      </c>
      <c r="I82" s="1" t="s">
        <v>36</v>
      </c>
      <c r="J82">
        <v>1</v>
      </c>
      <c r="K82">
        <v>5</v>
      </c>
      <c r="L82">
        <v>3400</v>
      </c>
      <c r="M82">
        <v>9.59</v>
      </c>
      <c r="N82">
        <v>17.63</v>
      </c>
      <c r="O82" s="1">
        <v>3700</v>
      </c>
      <c r="P82" s="1" t="s">
        <v>18</v>
      </c>
      <c r="Q82" s="1"/>
      <c r="R82">
        <v>15</v>
      </c>
      <c r="S82">
        <v>-2</v>
      </c>
      <c r="T82">
        <v>211</v>
      </c>
      <c r="U82">
        <v>14.8</v>
      </c>
      <c r="V82">
        <v>4.01</v>
      </c>
      <c r="W82">
        <v>0</v>
      </c>
      <c r="X82" s="1" t="str">
        <f>IF(OR(Table_0[[#This Row],[Table 0 (4).Fanduel Position]]="PG",Table_0[[#This Row],[Table 0 (4).Fanduel Position.2]]="PG"),Table_0[[#This Row],[IN]],"")</f>
        <v/>
      </c>
      <c r="Y82" s="1" t="str">
        <f>IF(OR(Table_0[[#This Row],[Table 0 (4).Fanduel Position]]="SG",Table_0[[#This Row],[Table 0 (4).Fanduel Position.2]]="SG"),Table_0[[#This Row],[IN]],"")</f>
        <v/>
      </c>
      <c r="Z82" s="1" t="str">
        <f>IF(OR(Table_0[[#This Row],[Table 0 (4).Fanduel Position]]="SF",Table_0[[#This Row],[Table 0 (4).Fanduel Position.2]]="SF"),Table_0[[#This Row],[IN]],"")</f>
        <v/>
      </c>
      <c r="AA82" s="1" t="str">
        <f>IF(OR(Table_0[[#This Row],[Table 0 (4).Fanduel Position]]="PF",Table_0[[#This Row],[Table 0 (4).Fanduel Position.2]]="PF"),Table_0[[#This Row],[IN]],"")</f>
        <v/>
      </c>
      <c r="AB82" s="1">
        <f>IF(OR(Table_0[[#This Row],[Table 0 (4).Fanduel Position]]="C",Table_0[[#This Row],[Table 0 (4).Fanduel Position.2]]="C"),Table_0[[#This Row],[IN]],"")</f>
        <v>0</v>
      </c>
      <c r="AC82" s="1"/>
      <c r="AL82" t="str">
        <f t="shared" si="1"/>
        <v/>
      </c>
    </row>
    <row r="83" spans="1:38" x14ac:dyDescent="0.3">
      <c r="A83" s="1" t="s">
        <v>154</v>
      </c>
      <c r="B83" s="1" t="s">
        <v>206</v>
      </c>
      <c r="C83" s="1" t="s">
        <v>401</v>
      </c>
      <c r="D83" s="1" t="s">
        <v>13</v>
      </c>
      <c r="E83" s="1" t="s">
        <v>14</v>
      </c>
      <c r="F83" s="3" t="s">
        <v>1331</v>
      </c>
      <c r="G83">
        <v>28.14</v>
      </c>
      <c r="H83" s="1" t="s">
        <v>1260</v>
      </c>
      <c r="I83" s="1" t="s">
        <v>1333</v>
      </c>
      <c r="J83">
        <v>0.82</v>
      </c>
      <c r="K83">
        <v>29</v>
      </c>
      <c r="L83">
        <v>4500</v>
      </c>
      <c r="M83">
        <v>25.12</v>
      </c>
      <c r="N83">
        <v>34.89</v>
      </c>
      <c r="O83" s="1">
        <v>4600</v>
      </c>
      <c r="P83" s="1" t="s">
        <v>14</v>
      </c>
      <c r="Q83" s="1" t="s">
        <v>13</v>
      </c>
      <c r="R83">
        <v>24</v>
      </c>
      <c r="S83">
        <v>7</v>
      </c>
      <c r="T83">
        <v>233.5</v>
      </c>
      <c r="U83">
        <v>20.100000000000001</v>
      </c>
      <c r="V83">
        <v>4.38</v>
      </c>
      <c r="W83">
        <v>0</v>
      </c>
      <c r="X83" s="1" t="str">
        <f>IF(OR(Table_0[[#This Row],[Table 0 (4).Fanduel Position]]="PG",Table_0[[#This Row],[Table 0 (4).Fanduel Position.2]]="PG"),Table_0[[#This Row],[IN]],"")</f>
        <v/>
      </c>
      <c r="Y83" s="1">
        <f>IF(OR(Table_0[[#This Row],[Table 0 (4).Fanduel Position]]="SG",Table_0[[#This Row],[Table 0 (4).Fanduel Position.2]]="SG"),Table_0[[#This Row],[IN]],"")</f>
        <v>0</v>
      </c>
      <c r="Z83" s="1">
        <f>IF(OR(Table_0[[#This Row],[Table 0 (4).Fanduel Position]]="SF",Table_0[[#This Row],[Table 0 (4).Fanduel Position.2]]="SF"),Table_0[[#This Row],[IN]],"")</f>
        <v>0</v>
      </c>
      <c r="AA83" s="1" t="str">
        <f>IF(OR(Table_0[[#This Row],[Table 0 (4).Fanduel Position]]="PF",Table_0[[#This Row],[Table 0 (4).Fanduel Position.2]]="PF"),Table_0[[#This Row],[IN]],"")</f>
        <v/>
      </c>
      <c r="AB83" s="1" t="str">
        <f>IF(OR(Table_0[[#This Row],[Table 0 (4).Fanduel Position]]="C",Table_0[[#This Row],[Table 0 (4).Fanduel Position.2]]="C"),Table_0[[#This Row],[IN]],"")</f>
        <v/>
      </c>
      <c r="AC83" s="1"/>
      <c r="AL83" t="str">
        <f t="shared" si="1"/>
        <v/>
      </c>
    </row>
    <row r="84" spans="1:38" x14ac:dyDescent="0.3">
      <c r="A84" s="1" t="s">
        <v>154</v>
      </c>
      <c r="B84" s="1" t="s">
        <v>1121</v>
      </c>
      <c r="C84" s="1" t="s">
        <v>427</v>
      </c>
      <c r="D84" s="1" t="s">
        <v>14</v>
      </c>
      <c r="E84" s="1" t="s">
        <v>16</v>
      </c>
      <c r="F84" s="3" t="s">
        <v>1438</v>
      </c>
      <c r="G84">
        <v>17.350000000000001</v>
      </c>
      <c r="H84" s="1" t="s">
        <v>1439</v>
      </c>
      <c r="I84" s="1" t="s">
        <v>1440</v>
      </c>
      <c r="J84">
        <v>0.76</v>
      </c>
      <c r="K84">
        <v>18</v>
      </c>
      <c r="L84">
        <v>3400</v>
      </c>
      <c r="M84">
        <v>14.75</v>
      </c>
      <c r="N84">
        <v>27.11</v>
      </c>
      <c r="O84" s="1">
        <v>4200</v>
      </c>
      <c r="P84" s="1" t="s">
        <v>18</v>
      </c>
      <c r="Q84" s="1" t="s">
        <v>16</v>
      </c>
      <c r="R84">
        <v>6</v>
      </c>
      <c r="S84">
        <v>-5.5</v>
      </c>
      <c r="T84">
        <v>222.5</v>
      </c>
      <c r="U84">
        <v>9.1999999999999993</v>
      </c>
      <c r="V84">
        <v>2.19</v>
      </c>
      <c r="W84">
        <v>0</v>
      </c>
      <c r="X84" s="1" t="str">
        <f>IF(OR(Table_0[[#This Row],[Table 0 (4).Fanduel Position]]="PG",Table_0[[#This Row],[Table 0 (4).Fanduel Position.2]]="PG"),Table_0[[#This Row],[IN]],"")</f>
        <v/>
      </c>
      <c r="Y84" s="1" t="str">
        <f>IF(OR(Table_0[[#This Row],[Table 0 (4).Fanduel Position]]="SG",Table_0[[#This Row],[Table 0 (4).Fanduel Position.2]]="SG"),Table_0[[#This Row],[IN]],"")</f>
        <v/>
      </c>
      <c r="Z84" s="1" t="str">
        <f>IF(OR(Table_0[[#This Row],[Table 0 (4).Fanduel Position]]="SF",Table_0[[#This Row],[Table 0 (4).Fanduel Position.2]]="SF"),Table_0[[#This Row],[IN]],"")</f>
        <v/>
      </c>
      <c r="AA84" s="1">
        <f>IF(OR(Table_0[[#This Row],[Table 0 (4).Fanduel Position]]="PF",Table_0[[#This Row],[Table 0 (4).Fanduel Position.2]]="PF"),Table_0[[#This Row],[IN]],"")</f>
        <v>0</v>
      </c>
      <c r="AB84" s="1">
        <f>IF(OR(Table_0[[#This Row],[Table 0 (4).Fanduel Position]]="C",Table_0[[#This Row],[Table 0 (4).Fanduel Position.2]]="C"),Table_0[[#This Row],[IN]],"")</f>
        <v>0</v>
      </c>
      <c r="AC84" s="1"/>
      <c r="AL84" t="str">
        <f t="shared" si="1"/>
        <v/>
      </c>
    </row>
    <row r="85" spans="1:38" x14ac:dyDescent="0.3">
      <c r="A85" s="1" t="s">
        <v>1441</v>
      </c>
      <c r="B85" s="1" t="s">
        <v>1442</v>
      </c>
      <c r="C85" s="1" t="s">
        <v>251</v>
      </c>
      <c r="D85" s="1" t="s">
        <v>16</v>
      </c>
      <c r="E85" s="1"/>
      <c r="F85" s="3" t="s">
        <v>17</v>
      </c>
      <c r="G85">
        <v>8.65</v>
      </c>
      <c r="H85" s="1" t="s">
        <v>1322</v>
      </c>
      <c r="I85" s="1" t="s">
        <v>1443</v>
      </c>
      <c r="J85">
        <v>0.88</v>
      </c>
      <c r="K85">
        <v>0</v>
      </c>
      <c r="L85">
        <v>3000</v>
      </c>
      <c r="M85">
        <v>0</v>
      </c>
      <c r="N85">
        <v>0</v>
      </c>
      <c r="O85" s="1">
        <v>100000</v>
      </c>
      <c r="P85" s="1"/>
      <c r="Q85" s="1"/>
      <c r="W85">
        <v>0</v>
      </c>
      <c r="X85" s="1" t="str">
        <f>IF(OR(Table_0[[#This Row],[Table 0 (4).Fanduel Position]]="PG",Table_0[[#This Row],[Table 0 (4).Fanduel Position.2]]="PG"),Table_0[[#This Row],[IN]],"")</f>
        <v/>
      </c>
      <c r="Y85" s="1" t="str">
        <f>IF(OR(Table_0[[#This Row],[Table 0 (4).Fanduel Position]]="SG",Table_0[[#This Row],[Table 0 (4).Fanduel Position.2]]="SG"),Table_0[[#This Row],[IN]],"")</f>
        <v/>
      </c>
      <c r="Z85" s="1" t="str">
        <f>IF(OR(Table_0[[#This Row],[Table 0 (4).Fanduel Position]]="SF",Table_0[[#This Row],[Table 0 (4).Fanduel Position.2]]="SF"),Table_0[[#This Row],[IN]],"")</f>
        <v/>
      </c>
      <c r="AA85" s="1" t="str">
        <f>IF(OR(Table_0[[#This Row],[Table 0 (4).Fanduel Position]]="PF",Table_0[[#This Row],[Table 0 (4).Fanduel Position.2]]="PF"),Table_0[[#This Row],[IN]],"")</f>
        <v/>
      </c>
      <c r="AB85" s="1" t="str">
        <f>IF(OR(Table_0[[#This Row],[Table 0 (4).Fanduel Position]]="C",Table_0[[#This Row],[Table 0 (4).Fanduel Position.2]]="C"),Table_0[[#This Row],[IN]],"")</f>
        <v/>
      </c>
      <c r="AC85" s="1"/>
      <c r="AL85" t="str">
        <f t="shared" si="1"/>
        <v/>
      </c>
    </row>
    <row r="86" spans="1:38" x14ac:dyDescent="0.3">
      <c r="A86" s="1" t="s">
        <v>815</v>
      </c>
      <c r="B86" s="1" t="s">
        <v>957</v>
      </c>
      <c r="C86" s="1" t="s">
        <v>396</v>
      </c>
      <c r="D86" s="1" t="s">
        <v>13</v>
      </c>
      <c r="E86" s="1" t="s">
        <v>14</v>
      </c>
      <c r="F86" s="3" t="s">
        <v>24</v>
      </c>
      <c r="G86">
        <v>29.95</v>
      </c>
      <c r="H86" s="1" t="s">
        <v>1444</v>
      </c>
      <c r="I86" s="1" t="s">
        <v>1318</v>
      </c>
      <c r="J86">
        <v>0.8</v>
      </c>
      <c r="K86">
        <v>28</v>
      </c>
      <c r="L86">
        <v>5000</v>
      </c>
      <c r="M86">
        <v>28.56</v>
      </c>
      <c r="N86">
        <v>35.700000000000003</v>
      </c>
      <c r="O86" s="1">
        <v>5600</v>
      </c>
      <c r="P86" s="1" t="s">
        <v>14</v>
      </c>
      <c r="Q86" s="1" t="s">
        <v>13</v>
      </c>
      <c r="R86">
        <v>7</v>
      </c>
      <c r="S86">
        <v>2.5</v>
      </c>
      <c r="T86">
        <v>204.5</v>
      </c>
      <c r="U86">
        <v>20.2</v>
      </c>
      <c r="V86">
        <v>3.61</v>
      </c>
      <c r="W86">
        <v>0</v>
      </c>
      <c r="X86" s="1" t="str">
        <f>IF(OR(Table_0[[#This Row],[Table 0 (4).Fanduel Position]]="PG",Table_0[[#This Row],[Table 0 (4).Fanduel Position.2]]="PG"),Table_0[[#This Row],[IN]],"")</f>
        <v/>
      </c>
      <c r="Y86" s="1">
        <f>IF(OR(Table_0[[#This Row],[Table 0 (4).Fanduel Position]]="SG",Table_0[[#This Row],[Table 0 (4).Fanduel Position.2]]="SG"),Table_0[[#This Row],[IN]],"")</f>
        <v>0</v>
      </c>
      <c r="Z86" s="1">
        <f>IF(OR(Table_0[[#This Row],[Table 0 (4).Fanduel Position]]="SF",Table_0[[#This Row],[Table 0 (4).Fanduel Position.2]]="SF"),Table_0[[#This Row],[IN]],"")</f>
        <v>0</v>
      </c>
      <c r="AA86" s="1" t="str">
        <f>IF(OR(Table_0[[#This Row],[Table 0 (4).Fanduel Position]]="PF",Table_0[[#This Row],[Table 0 (4).Fanduel Position.2]]="PF"),Table_0[[#This Row],[IN]],"")</f>
        <v/>
      </c>
      <c r="AB86" s="1" t="str">
        <f>IF(OR(Table_0[[#This Row],[Table 0 (4).Fanduel Position]]="C",Table_0[[#This Row],[Table 0 (4).Fanduel Position.2]]="C"),Table_0[[#This Row],[IN]],"")</f>
        <v/>
      </c>
      <c r="AC86" s="1"/>
      <c r="AL86" t="str">
        <f t="shared" si="1"/>
        <v/>
      </c>
    </row>
    <row r="87" spans="1:38" x14ac:dyDescent="0.3">
      <c r="A87" s="1" t="s">
        <v>815</v>
      </c>
      <c r="B87" s="1" t="s">
        <v>816</v>
      </c>
      <c r="C87" s="1" t="s">
        <v>428</v>
      </c>
      <c r="D87" s="1" t="s">
        <v>16</v>
      </c>
      <c r="E87" s="1" t="s">
        <v>18</v>
      </c>
      <c r="F87" s="3" t="s">
        <v>1396</v>
      </c>
      <c r="G87">
        <v>0</v>
      </c>
      <c r="H87" s="1" t="s">
        <v>1445</v>
      </c>
      <c r="I87" s="1" t="s">
        <v>1446</v>
      </c>
      <c r="J87">
        <v>1</v>
      </c>
      <c r="K87">
        <v>34</v>
      </c>
      <c r="L87">
        <v>7100</v>
      </c>
      <c r="M87">
        <v>34.909999999999997</v>
      </c>
      <c r="N87">
        <v>30.73</v>
      </c>
      <c r="O87" s="1">
        <v>7700</v>
      </c>
      <c r="P87" s="1" t="s">
        <v>18</v>
      </c>
      <c r="Q87" s="1" t="s">
        <v>16</v>
      </c>
      <c r="R87">
        <v>15</v>
      </c>
      <c r="S87">
        <v>5.5</v>
      </c>
      <c r="T87">
        <v>222.5</v>
      </c>
      <c r="U87">
        <v>34.9</v>
      </c>
      <c r="V87">
        <v>4.53</v>
      </c>
      <c r="W87">
        <v>0</v>
      </c>
      <c r="X87" s="1" t="str">
        <f>IF(OR(Table_0[[#This Row],[Table 0 (4).Fanduel Position]]="PG",Table_0[[#This Row],[Table 0 (4).Fanduel Position.2]]="PG"),Table_0[[#This Row],[IN]],"")</f>
        <v/>
      </c>
      <c r="Y87" s="1" t="str">
        <f>IF(OR(Table_0[[#This Row],[Table 0 (4).Fanduel Position]]="SG",Table_0[[#This Row],[Table 0 (4).Fanduel Position.2]]="SG"),Table_0[[#This Row],[IN]],"")</f>
        <v/>
      </c>
      <c r="Z87" s="1" t="str">
        <f>IF(OR(Table_0[[#This Row],[Table 0 (4).Fanduel Position]]="SF",Table_0[[#This Row],[Table 0 (4).Fanduel Position.2]]="SF"),Table_0[[#This Row],[IN]],"")</f>
        <v/>
      </c>
      <c r="AA87" s="1">
        <f>IF(OR(Table_0[[#This Row],[Table 0 (4).Fanduel Position]]="PF",Table_0[[#This Row],[Table 0 (4).Fanduel Position.2]]="PF"),Table_0[[#This Row],[IN]],"")</f>
        <v>0</v>
      </c>
      <c r="AB87" s="1">
        <f>IF(OR(Table_0[[#This Row],[Table 0 (4).Fanduel Position]]="C",Table_0[[#This Row],[Table 0 (4).Fanduel Position.2]]="C"),Table_0[[#This Row],[IN]],"")</f>
        <v>0</v>
      </c>
      <c r="AC87" s="1"/>
      <c r="AL87" t="str">
        <f t="shared" si="1"/>
        <v/>
      </c>
    </row>
    <row r="88" spans="1:38" x14ac:dyDescent="0.3">
      <c r="A88" s="1" t="s">
        <v>1447</v>
      </c>
      <c r="B88" s="1" t="s">
        <v>1057</v>
      </c>
      <c r="C88" s="1" t="s">
        <v>381</v>
      </c>
      <c r="D88" s="1" t="s">
        <v>13</v>
      </c>
      <c r="E88" s="1" t="s">
        <v>14</v>
      </c>
      <c r="F88" s="3" t="s">
        <v>1381</v>
      </c>
      <c r="G88">
        <v>19.29</v>
      </c>
      <c r="H88" s="1" t="s">
        <v>1448</v>
      </c>
      <c r="I88" s="1" t="s">
        <v>25</v>
      </c>
      <c r="J88">
        <v>0.82</v>
      </c>
      <c r="K88">
        <v>21</v>
      </c>
      <c r="L88">
        <v>5200</v>
      </c>
      <c r="M88">
        <v>21.97</v>
      </c>
      <c r="N88">
        <v>26.41</v>
      </c>
      <c r="O88" s="1">
        <v>5200</v>
      </c>
      <c r="P88" s="1" t="s">
        <v>13</v>
      </c>
      <c r="Q88" s="1" t="s">
        <v>14</v>
      </c>
      <c r="R88">
        <v>8</v>
      </c>
      <c r="S88">
        <v>-5.5</v>
      </c>
      <c r="T88">
        <v>225</v>
      </c>
      <c r="U88">
        <v>14.1</v>
      </c>
      <c r="V88">
        <v>2.7</v>
      </c>
      <c r="W88">
        <v>0</v>
      </c>
      <c r="X88" s="1" t="str">
        <f>IF(OR(Table_0[[#This Row],[Table 0 (4).Fanduel Position]]="PG",Table_0[[#This Row],[Table 0 (4).Fanduel Position.2]]="PG"),Table_0[[#This Row],[IN]],"")</f>
        <v/>
      </c>
      <c r="Y88" s="1">
        <f>IF(OR(Table_0[[#This Row],[Table 0 (4).Fanduel Position]]="SG",Table_0[[#This Row],[Table 0 (4).Fanduel Position.2]]="SG"),Table_0[[#This Row],[IN]],"")</f>
        <v>0</v>
      </c>
      <c r="Z88" s="1">
        <f>IF(OR(Table_0[[#This Row],[Table 0 (4).Fanduel Position]]="SF",Table_0[[#This Row],[Table 0 (4).Fanduel Position.2]]="SF"),Table_0[[#This Row],[IN]],"")</f>
        <v>0</v>
      </c>
      <c r="AA88" s="1" t="str">
        <f>IF(OR(Table_0[[#This Row],[Table 0 (4).Fanduel Position]]="PF",Table_0[[#This Row],[Table 0 (4).Fanduel Position.2]]="PF"),Table_0[[#This Row],[IN]],"")</f>
        <v/>
      </c>
      <c r="AB88" s="1" t="str">
        <f>IF(OR(Table_0[[#This Row],[Table 0 (4).Fanduel Position]]="C",Table_0[[#This Row],[Table 0 (4).Fanduel Position.2]]="C"),Table_0[[#This Row],[IN]],"")</f>
        <v/>
      </c>
      <c r="AC88" s="1"/>
      <c r="AL88" t="str">
        <f t="shared" si="1"/>
        <v/>
      </c>
    </row>
    <row r="89" spans="1:38" x14ac:dyDescent="0.3">
      <c r="A89" s="1" t="s">
        <v>1449</v>
      </c>
      <c r="B89" s="1" t="s">
        <v>986</v>
      </c>
      <c r="C89" s="1" t="s">
        <v>401</v>
      </c>
      <c r="D89" s="1" t="s">
        <v>14</v>
      </c>
      <c r="E89" s="1"/>
      <c r="F89" s="3" t="s">
        <v>1262</v>
      </c>
      <c r="G89">
        <v>16.2</v>
      </c>
      <c r="H89" s="1" t="s">
        <v>1450</v>
      </c>
      <c r="I89" s="1" t="s">
        <v>1433</v>
      </c>
      <c r="J89">
        <v>0.74</v>
      </c>
      <c r="K89">
        <v>23</v>
      </c>
      <c r="L89">
        <v>3900</v>
      </c>
      <c r="M89">
        <v>19.29</v>
      </c>
      <c r="N89">
        <v>30.91</v>
      </c>
      <c r="O89" s="1">
        <v>4200</v>
      </c>
      <c r="P89" s="1" t="s">
        <v>14</v>
      </c>
      <c r="Q89" s="1"/>
      <c r="R89">
        <v>29</v>
      </c>
      <c r="S89">
        <v>7</v>
      </c>
      <c r="T89">
        <v>233.5</v>
      </c>
      <c r="U89">
        <v>18.2</v>
      </c>
      <c r="V89">
        <v>4.34</v>
      </c>
      <c r="W89">
        <v>0</v>
      </c>
      <c r="X89" s="1" t="str">
        <f>IF(OR(Table_0[[#This Row],[Table 0 (4).Fanduel Position]]="PG",Table_0[[#This Row],[Table 0 (4).Fanduel Position.2]]="PG"),Table_0[[#This Row],[IN]],"")</f>
        <v/>
      </c>
      <c r="Y89" s="1" t="str">
        <f>IF(OR(Table_0[[#This Row],[Table 0 (4).Fanduel Position]]="SG",Table_0[[#This Row],[Table 0 (4).Fanduel Position.2]]="SG"),Table_0[[#This Row],[IN]],"")</f>
        <v/>
      </c>
      <c r="Z89" s="1">
        <f>IF(OR(Table_0[[#This Row],[Table 0 (4).Fanduel Position]]="SF",Table_0[[#This Row],[Table 0 (4).Fanduel Position.2]]="SF"),Table_0[[#This Row],[IN]],"")</f>
        <v>0</v>
      </c>
      <c r="AA89" s="1" t="str">
        <f>IF(OR(Table_0[[#This Row],[Table 0 (4).Fanduel Position]]="PF",Table_0[[#This Row],[Table 0 (4).Fanduel Position.2]]="PF"),Table_0[[#This Row],[IN]],"")</f>
        <v/>
      </c>
      <c r="AB89" s="1" t="str">
        <f>IF(OR(Table_0[[#This Row],[Table 0 (4).Fanduel Position]]="C",Table_0[[#This Row],[Table 0 (4).Fanduel Position.2]]="C"),Table_0[[#This Row],[IN]],"")</f>
        <v/>
      </c>
      <c r="AC89" s="1"/>
      <c r="AL89" t="str">
        <f t="shared" si="1"/>
        <v/>
      </c>
    </row>
    <row r="90" spans="1:38" x14ac:dyDescent="0.3">
      <c r="A90" s="1" t="s">
        <v>1451</v>
      </c>
      <c r="B90" s="1" t="s">
        <v>1047</v>
      </c>
      <c r="C90" s="1" t="s">
        <v>381</v>
      </c>
      <c r="D90" s="1" t="s">
        <v>14</v>
      </c>
      <c r="E90" s="1" t="s">
        <v>16</v>
      </c>
      <c r="F90" s="3" t="s">
        <v>1391</v>
      </c>
      <c r="G90">
        <v>16.03</v>
      </c>
      <c r="H90" s="1" t="s">
        <v>1280</v>
      </c>
      <c r="I90" s="1" t="s">
        <v>23</v>
      </c>
      <c r="J90">
        <v>0.8</v>
      </c>
      <c r="K90">
        <v>17</v>
      </c>
      <c r="L90">
        <v>3300</v>
      </c>
      <c r="M90">
        <v>15.12</v>
      </c>
      <c r="N90">
        <v>28.64</v>
      </c>
      <c r="O90" s="1">
        <v>3700</v>
      </c>
      <c r="P90" s="1" t="s">
        <v>16</v>
      </c>
      <c r="Q90" s="1" t="s">
        <v>14</v>
      </c>
      <c r="R90">
        <v>26</v>
      </c>
      <c r="S90">
        <v>-5.5</v>
      </c>
      <c r="T90">
        <v>225</v>
      </c>
      <c r="U90">
        <v>14.4</v>
      </c>
      <c r="V90">
        <v>3.89</v>
      </c>
      <c r="W90">
        <v>0</v>
      </c>
      <c r="X90" s="1" t="str">
        <f>IF(OR(Table_0[[#This Row],[Table 0 (4).Fanduel Position]]="PG",Table_0[[#This Row],[Table 0 (4).Fanduel Position.2]]="PG"),Table_0[[#This Row],[IN]],"")</f>
        <v/>
      </c>
      <c r="Y90" s="1" t="str">
        <f>IF(OR(Table_0[[#This Row],[Table 0 (4).Fanduel Position]]="SG",Table_0[[#This Row],[Table 0 (4).Fanduel Position.2]]="SG"),Table_0[[#This Row],[IN]],"")</f>
        <v/>
      </c>
      <c r="Z90" s="1">
        <f>IF(OR(Table_0[[#This Row],[Table 0 (4).Fanduel Position]]="SF",Table_0[[#This Row],[Table 0 (4).Fanduel Position.2]]="SF"),Table_0[[#This Row],[IN]],"")</f>
        <v>0</v>
      </c>
      <c r="AA90" s="1">
        <f>IF(OR(Table_0[[#This Row],[Table 0 (4).Fanduel Position]]="PF",Table_0[[#This Row],[Table 0 (4).Fanduel Position.2]]="PF"),Table_0[[#This Row],[IN]],"")</f>
        <v>0</v>
      </c>
      <c r="AB90" s="1" t="str">
        <f>IF(OR(Table_0[[#This Row],[Table 0 (4).Fanduel Position]]="C",Table_0[[#This Row],[Table 0 (4).Fanduel Position.2]]="C"),Table_0[[#This Row],[IN]],"")</f>
        <v/>
      </c>
      <c r="AC90" s="1"/>
      <c r="AL90" t="str">
        <f t="shared" si="1"/>
        <v/>
      </c>
    </row>
    <row r="91" spans="1:38" x14ac:dyDescent="0.3">
      <c r="A91" s="1" t="s">
        <v>1452</v>
      </c>
      <c r="B91" s="1" t="s">
        <v>1453</v>
      </c>
      <c r="C91" s="1" t="s">
        <v>392</v>
      </c>
      <c r="D91" s="1" t="s">
        <v>18</v>
      </c>
      <c r="E91" s="1"/>
      <c r="F91" s="3" t="s">
        <v>17</v>
      </c>
      <c r="G91">
        <v>12.47</v>
      </c>
      <c r="H91" s="1" t="s">
        <v>1454</v>
      </c>
      <c r="I91" s="1" t="s">
        <v>1394</v>
      </c>
      <c r="J91">
        <v>1.01</v>
      </c>
      <c r="K91">
        <v>0</v>
      </c>
      <c r="L91">
        <v>3000</v>
      </c>
      <c r="M91">
        <v>0</v>
      </c>
      <c r="N91">
        <v>0</v>
      </c>
      <c r="O91" s="1">
        <v>3500</v>
      </c>
      <c r="P91" s="1"/>
      <c r="Q91" s="1"/>
      <c r="W91">
        <v>0</v>
      </c>
      <c r="X91" s="1" t="str">
        <f>IF(OR(Table_0[[#This Row],[Table 0 (4).Fanduel Position]]="PG",Table_0[[#This Row],[Table 0 (4).Fanduel Position.2]]="PG"),Table_0[[#This Row],[IN]],"")</f>
        <v/>
      </c>
      <c r="Y91" s="1" t="str">
        <f>IF(OR(Table_0[[#This Row],[Table 0 (4).Fanduel Position]]="SG",Table_0[[#This Row],[Table 0 (4).Fanduel Position.2]]="SG"),Table_0[[#This Row],[IN]],"")</f>
        <v/>
      </c>
      <c r="Z91" s="1" t="str">
        <f>IF(OR(Table_0[[#This Row],[Table 0 (4).Fanduel Position]]="SF",Table_0[[#This Row],[Table 0 (4).Fanduel Position.2]]="SF"),Table_0[[#This Row],[IN]],"")</f>
        <v/>
      </c>
      <c r="AA91" s="1" t="str">
        <f>IF(OR(Table_0[[#This Row],[Table 0 (4).Fanduel Position]]="PF",Table_0[[#This Row],[Table 0 (4).Fanduel Position.2]]="PF"),Table_0[[#This Row],[IN]],"")</f>
        <v/>
      </c>
      <c r="AB91" s="1" t="str">
        <f>IF(OR(Table_0[[#This Row],[Table 0 (4).Fanduel Position]]="C",Table_0[[#This Row],[Table 0 (4).Fanduel Position.2]]="C"),Table_0[[#This Row],[IN]],"")</f>
        <v/>
      </c>
      <c r="AC91" s="1"/>
      <c r="AL91" t="str">
        <f t="shared" si="1"/>
        <v/>
      </c>
    </row>
    <row r="92" spans="1:38" x14ac:dyDescent="0.3">
      <c r="A92" s="1" t="s">
        <v>206</v>
      </c>
      <c r="B92" s="1" t="s">
        <v>834</v>
      </c>
      <c r="C92" s="1" t="s">
        <v>382</v>
      </c>
      <c r="D92" s="1" t="s">
        <v>14</v>
      </c>
      <c r="E92" s="1" t="s">
        <v>16</v>
      </c>
      <c r="F92" s="3" t="s">
        <v>1375</v>
      </c>
      <c r="G92">
        <v>34</v>
      </c>
      <c r="H92" s="1" t="s">
        <v>1455</v>
      </c>
      <c r="I92" s="1" t="s">
        <v>1456</v>
      </c>
      <c r="J92">
        <v>0.96</v>
      </c>
      <c r="K92">
        <v>35</v>
      </c>
      <c r="L92">
        <v>6500</v>
      </c>
      <c r="M92">
        <v>33.86</v>
      </c>
      <c r="N92">
        <v>32.56</v>
      </c>
      <c r="O92" s="1">
        <v>6500</v>
      </c>
      <c r="P92" s="1" t="s">
        <v>14</v>
      </c>
      <c r="Q92" s="1" t="s">
        <v>13</v>
      </c>
      <c r="R92">
        <v>10</v>
      </c>
      <c r="S92">
        <v>5.5</v>
      </c>
      <c r="T92">
        <v>225</v>
      </c>
      <c r="U92">
        <v>31.2</v>
      </c>
      <c r="V92">
        <v>4.8</v>
      </c>
      <c r="W92">
        <v>0</v>
      </c>
      <c r="X92" s="1" t="str">
        <f>IF(OR(Table_0[[#This Row],[Table 0 (4).Fanduel Position]]="PG",Table_0[[#This Row],[Table 0 (4).Fanduel Position.2]]="PG"),Table_0[[#This Row],[IN]],"")</f>
        <v/>
      </c>
      <c r="Y92" s="1">
        <f>IF(OR(Table_0[[#This Row],[Table 0 (4).Fanduel Position]]="SG",Table_0[[#This Row],[Table 0 (4).Fanduel Position.2]]="SG"),Table_0[[#This Row],[IN]],"")</f>
        <v>0</v>
      </c>
      <c r="Z92" s="1">
        <f>IF(OR(Table_0[[#This Row],[Table 0 (4).Fanduel Position]]="SF",Table_0[[#This Row],[Table 0 (4).Fanduel Position.2]]="SF"),Table_0[[#This Row],[IN]],"")</f>
        <v>0</v>
      </c>
      <c r="AA92" s="1" t="str">
        <f>IF(OR(Table_0[[#This Row],[Table 0 (4).Fanduel Position]]="PF",Table_0[[#This Row],[Table 0 (4).Fanduel Position.2]]="PF"),Table_0[[#This Row],[IN]],"")</f>
        <v/>
      </c>
      <c r="AB92" s="1" t="str">
        <f>IF(OR(Table_0[[#This Row],[Table 0 (4).Fanduel Position]]="C",Table_0[[#This Row],[Table 0 (4).Fanduel Position.2]]="C"),Table_0[[#This Row],[IN]],"")</f>
        <v/>
      </c>
      <c r="AC92" s="1"/>
      <c r="AL92" t="str">
        <f t="shared" si="1"/>
        <v/>
      </c>
    </row>
    <row r="93" spans="1:38" x14ac:dyDescent="0.3">
      <c r="A93" s="1" t="s">
        <v>240</v>
      </c>
      <c r="B93" s="1" t="s">
        <v>143</v>
      </c>
      <c r="C93" s="1" t="s">
        <v>385</v>
      </c>
      <c r="D93" s="1" t="s">
        <v>16</v>
      </c>
      <c r="E93" s="1" t="s">
        <v>18</v>
      </c>
      <c r="F93" s="3" t="s">
        <v>1407</v>
      </c>
      <c r="G93">
        <v>18.05</v>
      </c>
      <c r="H93" s="1" t="s">
        <v>369</v>
      </c>
      <c r="I93" s="1" t="s">
        <v>35</v>
      </c>
      <c r="J93">
        <v>0.71</v>
      </c>
      <c r="K93">
        <v>16</v>
      </c>
      <c r="L93">
        <v>3300</v>
      </c>
      <c r="M93">
        <v>14.54</v>
      </c>
      <c r="N93">
        <v>27.54</v>
      </c>
      <c r="O93" s="1">
        <v>3500</v>
      </c>
      <c r="P93" s="1" t="s">
        <v>16</v>
      </c>
      <c r="Q93" s="1" t="s">
        <v>18</v>
      </c>
      <c r="R93">
        <v>15</v>
      </c>
      <c r="S93">
        <v>-2</v>
      </c>
      <c r="T93">
        <v>211</v>
      </c>
      <c r="U93">
        <v>35.4</v>
      </c>
      <c r="V93">
        <v>4.6500000000000004</v>
      </c>
      <c r="W93">
        <v>1</v>
      </c>
      <c r="X93" s="1" t="str">
        <f>IF(OR(Table_0[[#This Row],[Table 0 (4).Fanduel Position]]="PG",Table_0[[#This Row],[Table 0 (4).Fanduel Position.2]]="PG"),Table_0[[#This Row],[IN]],"")</f>
        <v/>
      </c>
      <c r="Y93" s="1" t="str">
        <f>IF(OR(Table_0[[#This Row],[Table 0 (4).Fanduel Position]]="SG",Table_0[[#This Row],[Table 0 (4).Fanduel Position.2]]="SG"),Table_0[[#This Row],[IN]],"")</f>
        <v/>
      </c>
      <c r="Z93" s="1" t="str">
        <f>IF(OR(Table_0[[#This Row],[Table 0 (4).Fanduel Position]]="SF",Table_0[[#This Row],[Table 0 (4).Fanduel Position.2]]="SF"),Table_0[[#This Row],[IN]],"")</f>
        <v/>
      </c>
      <c r="AA93" s="1">
        <f>IF(OR(Table_0[[#This Row],[Table 0 (4).Fanduel Position]]="PF",Table_0[[#This Row],[Table 0 (4).Fanduel Position.2]]="PF"),Table_0[[#This Row],[IN]],"")</f>
        <v>1</v>
      </c>
      <c r="AB93" s="1">
        <f>IF(OR(Table_0[[#This Row],[Table 0 (4).Fanduel Position]]="C",Table_0[[#This Row],[Table 0 (4).Fanduel Position.2]]="C"),Table_0[[#This Row],[IN]],"")</f>
        <v>1</v>
      </c>
      <c r="AC93" s="1"/>
      <c r="AL93" t="str">
        <f t="shared" si="1"/>
        <v/>
      </c>
    </row>
    <row r="94" spans="1:38" x14ac:dyDescent="0.3">
      <c r="A94" s="1" t="s">
        <v>370</v>
      </c>
      <c r="B94" s="1" t="s">
        <v>371</v>
      </c>
      <c r="C94" s="1" t="s">
        <v>257</v>
      </c>
      <c r="D94" s="1" t="s">
        <v>18</v>
      </c>
      <c r="E94" s="1"/>
      <c r="F94" s="3" t="s">
        <v>17</v>
      </c>
      <c r="G94">
        <v>11.14</v>
      </c>
      <c r="H94" s="1" t="s">
        <v>372</v>
      </c>
      <c r="I94" s="1" t="s">
        <v>238</v>
      </c>
      <c r="J94">
        <v>1.24</v>
      </c>
      <c r="K94">
        <v>0</v>
      </c>
      <c r="L94">
        <v>3600</v>
      </c>
      <c r="M94">
        <v>0</v>
      </c>
      <c r="N94">
        <v>0</v>
      </c>
      <c r="O94" s="1">
        <v>3700</v>
      </c>
      <c r="P94" s="1"/>
      <c r="Q94" s="1"/>
      <c r="W94">
        <v>0</v>
      </c>
      <c r="X94" s="1" t="str">
        <f>IF(OR(Table_0[[#This Row],[Table 0 (4).Fanduel Position]]="PG",Table_0[[#This Row],[Table 0 (4).Fanduel Position.2]]="PG"),Table_0[[#This Row],[IN]],"")</f>
        <v/>
      </c>
      <c r="Y94" s="1" t="str">
        <f>IF(OR(Table_0[[#This Row],[Table 0 (4).Fanduel Position]]="SG",Table_0[[#This Row],[Table 0 (4).Fanduel Position.2]]="SG"),Table_0[[#This Row],[IN]],"")</f>
        <v/>
      </c>
      <c r="Z94" s="1" t="str">
        <f>IF(OR(Table_0[[#This Row],[Table 0 (4).Fanduel Position]]="SF",Table_0[[#This Row],[Table 0 (4).Fanduel Position.2]]="SF"),Table_0[[#This Row],[IN]],"")</f>
        <v/>
      </c>
      <c r="AA94" s="1" t="str">
        <f>IF(OR(Table_0[[#This Row],[Table 0 (4).Fanduel Position]]="PF",Table_0[[#This Row],[Table 0 (4).Fanduel Position.2]]="PF"),Table_0[[#This Row],[IN]],"")</f>
        <v/>
      </c>
      <c r="AB94" s="1" t="str">
        <f>IF(OR(Table_0[[#This Row],[Table 0 (4).Fanduel Position]]="C",Table_0[[#This Row],[Table 0 (4).Fanduel Position.2]]="C"),Table_0[[#This Row],[IN]],"")</f>
        <v/>
      </c>
      <c r="AC94" s="1"/>
      <c r="AL94" t="str">
        <f t="shared" si="1"/>
        <v>Williams</v>
      </c>
    </row>
    <row r="95" spans="1:38" x14ac:dyDescent="0.3">
      <c r="A95" s="1" t="s">
        <v>1457</v>
      </c>
      <c r="B95" s="1" t="s">
        <v>866</v>
      </c>
      <c r="C95" s="1" t="s">
        <v>388</v>
      </c>
      <c r="D95" s="1" t="s">
        <v>14</v>
      </c>
      <c r="E95" s="1" t="s">
        <v>16</v>
      </c>
      <c r="F95" s="3" t="s">
        <v>1345</v>
      </c>
      <c r="G95">
        <v>36.24</v>
      </c>
      <c r="H95" s="1" t="s">
        <v>1458</v>
      </c>
      <c r="I95" s="1" t="s">
        <v>1424</v>
      </c>
      <c r="J95">
        <v>0.91</v>
      </c>
      <c r="K95">
        <v>30</v>
      </c>
      <c r="L95">
        <v>5300</v>
      </c>
      <c r="M95">
        <v>27.88</v>
      </c>
      <c r="N95">
        <v>32.880000000000003</v>
      </c>
      <c r="O95" s="1">
        <v>5000</v>
      </c>
      <c r="P95" s="1" t="s">
        <v>14</v>
      </c>
      <c r="Q95" s="1" t="s">
        <v>16</v>
      </c>
      <c r="R95">
        <v>7</v>
      </c>
      <c r="S95">
        <v>4</v>
      </c>
      <c r="T95">
        <v>231</v>
      </c>
      <c r="U95">
        <v>27.5</v>
      </c>
      <c r="V95">
        <v>5.5</v>
      </c>
      <c r="W95">
        <v>1</v>
      </c>
      <c r="X95" s="1" t="str">
        <f>IF(OR(Table_0[[#This Row],[Table 0 (4).Fanduel Position]]="PG",Table_0[[#This Row],[Table 0 (4).Fanduel Position.2]]="PG"),Table_0[[#This Row],[IN]],"")</f>
        <v/>
      </c>
      <c r="Y95" s="1" t="str">
        <f>IF(OR(Table_0[[#This Row],[Table 0 (4).Fanduel Position]]="SG",Table_0[[#This Row],[Table 0 (4).Fanduel Position.2]]="SG"),Table_0[[#This Row],[IN]],"")</f>
        <v/>
      </c>
      <c r="Z95" s="1">
        <f>IF(OR(Table_0[[#This Row],[Table 0 (4).Fanduel Position]]="SF",Table_0[[#This Row],[Table 0 (4).Fanduel Position.2]]="SF"),Table_0[[#This Row],[IN]],"")</f>
        <v>1</v>
      </c>
      <c r="AA95" s="1">
        <f>IF(OR(Table_0[[#This Row],[Table 0 (4).Fanduel Position]]="PF",Table_0[[#This Row],[Table 0 (4).Fanduel Position.2]]="PF"),Table_0[[#This Row],[IN]],"")</f>
        <v>1</v>
      </c>
      <c r="AB95" s="1" t="str">
        <f>IF(OR(Table_0[[#This Row],[Table 0 (4).Fanduel Position]]="C",Table_0[[#This Row],[Table 0 (4).Fanduel Position.2]]="C"),Table_0[[#This Row],[IN]],"")</f>
        <v/>
      </c>
      <c r="AC95" s="1"/>
      <c r="AL95" t="str">
        <f t="shared" si="1"/>
        <v/>
      </c>
    </row>
    <row r="96" spans="1:38" x14ac:dyDescent="0.3">
      <c r="A96" s="1" t="s">
        <v>1459</v>
      </c>
      <c r="B96" s="1" t="s">
        <v>791</v>
      </c>
      <c r="C96" s="1" t="s">
        <v>427</v>
      </c>
      <c r="D96" s="1" t="s">
        <v>18</v>
      </c>
      <c r="E96" s="1"/>
      <c r="F96" s="3" t="s">
        <v>1297</v>
      </c>
      <c r="G96">
        <v>15.14</v>
      </c>
      <c r="H96" s="1" t="s">
        <v>1373</v>
      </c>
      <c r="I96" s="1" t="s">
        <v>1460</v>
      </c>
      <c r="J96">
        <v>1.26</v>
      </c>
      <c r="K96">
        <v>32</v>
      </c>
      <c r="L96">
        <v>6200</v>
      </c>
      <c r="M96">
        <v>37.770000000000003</v>
      </c>
      <c r="N96">
        <v>38.07</v>
      </c>
      <c r="O96" s="1">
        <v>7000</v>
      </c>
      <c r="P96" s="1" t="s">
        <v>18</v>
      </c>
      <c r="Q96" s="1"/>
      <c r="R96">
        <v>20</v>
      </c>
      <c r="S96">
        <v>-5.5</v>
      </c>
      <c r="T96">
        <v>222.5</v>
      </c>
      <c r="U96">
        <v>38.4</v>
      </c>
      <c r="V96">
        <v>5.49</v>
      </c>
      <c r="W96">
        <v>0</v>
      </c>
      <c r="X96" s="1" t="str">
        <f>IF(OR(Table_0[[#This Row],[Table 0 (4).Fanduel Position]]="PG",Table_0[[#This Row],[Table 0 (4).Fanduel Position.2]]="PG"),Table_0[[#This Row],[IN]],"")</f>
        <v/>
      </c>
      <c r="Y96" s="1" t="str">
        <f>IF(OR(Table_0[[#This Row],[Table 0 (4).Fanduel Position]]="SG",Table_0[[#This Row],[Table 0 (4).Fanduel Position.2]]="SG"),Table_0[[#This Row],[IN]],"")</f>
        <v/>
      </c>
      <c r="Z96" s="1" t="str">
        <f>IF(OR(Table_0[[#This Row],[Table 0 (4).Fanduel Position]]="SF",Table_0[[#This Row],[Table 0 (4).Fanduel Position.2]]="SF"),Table_0[[#This Row],[IN]],"")</f>
        <v/>
      </c>
      <c r="AA96" s="1" t="str">
        <f>IF(OR(Table_0[[#This Row],[Table 0 (4).Fanduel Position]]="PF",Table_0[[#This Row],[Table 0 (4).Fanduel Position.2]]="PF"),Table_0[[#This Row],[IN]],"")</f>
        <v/>
      </c>
      <c r="AB96" s="1">
        <f>IF(OR(Table_0[[#This Row],[Table 0 (4).Fanduel Position]]="C",Table_0[[#This Row],[Table 0 (4).Fanduel Position.2]]="C"),Table_0[[#This Row],[IN]],"")</f>
        <v>0</v>
      </c>
      <c r="AC96" s="1"/>
      <c r="AL96" t="str">
        <f t="shared" si="1"/>
        <v>Barnes</v>
      </c>
    </row>
    <row r="97" spans="1:38" x14ac:dyDescent="0.3">
      <c r="A97" s="1" t="s">
        <v>1461</v>
      </c>
      <c r="B97" s="1" t="s">
        <v>992</v>
      </c>
      <c r="C97" s="1" t="s">
        <v>396</v>
      </c>
      <c r="D97" s="1" t="s">
        <v>21</v>
      </c>
      <c r="E97" s="1" t="s">
        <v>13</v>
      </c>
      <c r="F97" s="3" t="s">
        <v>1342</v>
      </c>
      <c r="G97">
        <v>19.420000000000002</v>
      </c>
      <c r="H97" s="1" t="s">
        <v>1462</v>
      </c>
      <c r="I97" s="1" t="s">
        <v>1463</v>
      </c>
      <c r="J97">
        <v>0.87</v>
      </c>
      <c r="K97">
        <v>22</v>
      </c>
      <c r="L97">
        <v>4800</v>
      </c>
      <c r="M97">
        <v>22.51</v>
      </c>
      <c r="N97">
        <v>29.31</v>
      </c>
      <c r="O97" s="1">
        <v>5000</v>
      </c>
      <c r="P97" s="1" t="s">
        <v>13</v>
      </c>
      <c r="Q97" s="1" t="s">
        <v>21</v>
      </c>
      <c r="R97">
        <v>3</v>
      </c>
      <c r="S97">
        <v>2.5</v>
      </c>
      <c r="T97">
        <v>204.5</v>
      </c>
      <c r="U97">
        <v>17.7</v>
      </c>
      <c r="V97">
        <v>3.53</v>
      </c>
      <c r="W97">
        <v>0</v>
      </c>
      <c r="X97" s="1">
        <f>IF(OR(Table_0[[#This Row],[Table 0 (4).Fanduel Position]]="PG",Table_0[[#This Row],[Table 0 (4).Fanduel Position.2]]="PG"),Table_0[[#This Row],[IN]],"")</f>
        <v>0</v>
      </c>
      <c r="Y97" s="1">
        <f>IF(OR(Table_0[[#This Row],[Table 0 (4).Fanduel Position]]="SG",Table_0[[#This Row],[Table 0 (4).Fanduel Position.2]]="SG"),Table_0[[#This Row],[IN]],"")</f>
        <v>0</v>
      </c>
      <c r="Z97" s="1" t="str">
        <f>IF(OR(Table_0[[#This Row],[Table 0 (4).Fanduel Position]]="SF",Table_0[[#This Row],[Table 0 (4).Fanduel Position.2]]="SF"),Table_0[[#This Row],[IN]],"")</f>
        <v/>
      </c>
      <c r="AA97" s="1" t="str">
        <f>IF(OR(Table_0[[#This Row],[Table 0 (4).Fanduel Position]]="PF",Table_0[[#This Row],[Table 0 (4).Fanduel Position.2]]="PF"),Table_0[[#This Row],[IN]],"")</f>
        <v/>
      </c>
      <c r="AB97" s="1" t="str">
        <f>IF(OR(Table_0[[#This Row],[Table 0 (4).Fanduel Position]]="C",Table_0[[#This Row],[Table 0 (4).Fanduel Position.2]]="C"),Table_0[[#This Row],[IN]],"")</f>
        <v/>
      </c>
      <c r="AC97" s="1"/>
      <c r="AL97" t="str">
        <f t="shared" si="1"/>
        <v/>
      </c>
    </row>
    <row r="98" spans="1:38" x14ac:dyDescent="0.3">
      <c r="A98" s="1" t="s">
        <v>1464</v>
      </c>
      <c r="B98" s="1" t="s">
        <v>1465</v>
      </c>
      <c r="C98" s="1" t="s">
        <v>428</v>
      </c>
      <c r="D98" s="1" t="s">
        <v>13</v>
      </c>
      <c r="E98" s="1" t="s">
        <v>14</v>
      </c>
      <c r="F98" s="3" t="s">
        <v>17</v>
      </c>
      <c r="G98">
        <v>32.43</v>
      </c>
      <c r="H98" s="1" t="s">
        <v>1466</v>
      </c>
      <c r="I98" s="1" t="s">
        <v>1253</v>
      </c>
      <c r="J98">
        <v>0.66</v>
      </c>
      <c r="K98">
        <v>0</v>
      </c>
      <c r="L98">
        <v>3700</v>
      </c>
      <c r="M98">
        <v>0</v>
      </c>
      <c r="N98">
        <v>0</v>
      </c>
      <c r="O98" s="1">
        <v>4100</v>
      </c>
      <c r="P98" s="1" t="s">
        <v>14</v>
      </c>
      <c r="Q98" s="1" t="s">
        <v>13</v>
      </c>
      <c r="R98">
        <v>23</v>
      </c>
      <c r="S98">
        <v>5.5</v>
      </c>
      <c r="T98">
        <v>222.5</v>
      </c>
      <c r="U98">
        <v>0</v>
      </c>
      <c r="V98">
        <v>0</v>
      </c>
      <c r="W98">
        <v>0</v>
      </c>
      <c r="X98" s="1" t="str">
        <f>IF(OR(Table_0[[#This Row],[Table 0 (4).Fanduel Position]]="PG",Table_0[[#This Row],[Table 0 (4).Fanduel Position.2]]="PG"),Table_0[[#This Row],[IN]],"")</f>
        <v/>
      </c>
      <c r="Y98" s="1">
        <f>IF(OR(Table_0[[#This Row],[Table 0 (4).Fanduel Position]]="SG",Table_0[[#This Row],[Table 0 (4).Fanduel Position.2]]="SG"),Table_0[[#This Row],[IN]],"")</f>
        <v>0</v>
      </c>
      <c r="Z98" s="1">
        <f>IF(OR(Table_0[[#This Row],[Table 0 (4).Fanduel Position]]="SF",Table_0[[#This Row],[Table 0 (4).Fanduel Position.2]]="SF"),Table_0[[#This Row],[IN]],"")</f>
        <v>0</v>
      </c>
      <c r="AA98" s="1" t="str">
        <f>IF(OR(Table_0[[#This Row],[Table 0 (4).Fanduel Position]]="PF",Table_0[[#This Row],[Table 0 (4).Fanduel Position.2]]="PF"),Table_0[[#This Row],[IN]],"")</f>
        <v/>
      </c>
      <c r="AB98" s="1" t="str">
        <f>IF(OR(Table_0[[#This Row],[Table 0 (4).Fanduel Position]]="C",Table_0[[#This Row],[Table 0 (4).Fanduel Position.2]]="C"),Table_0[[#This Row],[IN]],"")</f>
        <v/>
      </c>
      <c r="AC98" s="1"/>
      <c r="AL98" t="str">
        <f t="shared" si="1"/>
        <v/>
      </c>
    </row>
    <row r="99" spans="1:38" x14ac:dyDescent="0.3">
      <c r="A99" s="1" t="s">
        <v>186</v>
      </c>
      <c r="B99" s="1" t="s">
        <v>230</v>
      </c>
      <c r="C99" s="1" t="s">
        <v>392</v>
      </c>
      <c r="D99" s="1" t="s">
        <v>16</v>
      </c>
      <c r="E99" s="1"/>
      <c r="F99" s="3" t="s">
        <v>17</v>
      </c>
      <c r="G99">
        <v>0</v>
      </c>
      <c r="H99" s="1" t="s">
        <v>1278</v>
      </c>
      <c r="I99" s="1" t="s">
        <v>241</v>
      </c>
      <c r="J99">
        <v>1.1200000000000001</v>
      </c>
      <c r="K99">
        <v>0</v>
      </c>
      <c r="L99">
        <v>3000</v>
      </c>
      <c r="M99">
        <v>0</v>
      </c>
      <c r="N99">
        <v>0</v>
      </c>
      <c r="O99" s="1">
        <v>3500</v>
      </c>
      <c r="P99" s="1"/>
      <c r="Q99" s="1"/>
      <c r="W99">
        <v>0</v>
      </c>
      <c r="X99" s="1" t="str">
        <f>IF(OR(Table_0[[#This Row],[Table 0 (4).Fanduel Position]]="PG",Table_0[[#This Row],[Table 0 (4).Fanduel Position.2]]="PG"),Table_0[[#This Row],[IN]],"")</f>
        <v/>
      </c>
      <c r="Y99" s="1" t="str">
        <f>IF(OR(Table_0[[#This Row],[Table 0 (4).Fanduel Position]]="SG",Table_0[[#This Row],[Table 0 (4).Fanduel Position.2]]="SG"),Table_0[[#This Row],[IN]],"")</f>
        <v/>
      </c>
      <c r="Z99" s="1" t="str">
        <f>IF(OR(Table_0[[#This Row],[Table 0 (4).Fanduel Position]]="SF",Table_0[[#This Row],[Table 0 (4).Fanduel Position.2]]="SF"),Table_0[[#This Row],[IN]],"")</f>
        <v/>
      </c>
      <c r="AA99" s="1" t="str">
        <f>IF(OR(Table_0[[#This Row],[Table 0 (4).Fanduel Position]]="PF",Table_0[[#This Row],[Table 0 (4).Fanduel Position.2]]="PF"),Table_0[[#This Row],[IN]],"")</f>
        <v/>
      </c>
      <c r="AB99" s="1" t="str">
        <f>IF(OR(Table_0[[#This Row],[Table 0 (4).Fanduel Position]]="C",Table_0[[#This Row],[Table 0 (4).Fanduel Position.2]]="C"),Table_0[[#This Row],[IN]],"")</f>
        <v/>
      </c>
      <c r="AC99" s="1"/>
      <c r="AL99" t="str">
        <f t="shared" si="1"/>
        <v/>
      </c>
    </row>
    <row r="100" spans="1:38" x14ac:dyDescent="0.3">
      <c r="A100" s="1" t="s">
        <v>186</v>
      </c>
      <c r="B100" s="1" t="s">
        <v>994</v>
      </c>
      <c r="C100" s="1" t="s">
        <v>381</v>
      </c>
      <c r="D100" s="1" t="s">
        <v>13</v>
      </c>
      <c r="E100" s="1"/>
      <c r="F100" s="3" t="s">
        <v>1438</v>
      </c>
      <c r="G100">
        <v>9.32</v>
      </c>
      <c r="H100" s="1" t="s">
        <v>1467</v>
      </c>
      <c r="I100" s="1" t="s">
        <v>1373</v>
      </c>
      <c r="J100">
        <v>0.83</v>
      </c>
      <c r="K100">
        <v>18</v>
      </c>
      <c r="L100">
        <v>3400</v>
      </c>
      <c r="M100">
        <v>14.75</v>
      </c>
      <c r="N100">
        <v>27.11</v>
      </c>
      <c r="O100" s="1">
        <v>3800</v>
      </c>
      <c r="P100" s="1" t="s">
        <v>21</v>
      </c>
      <c r="Q100" s="1"/>
      <c r="R100">
        <v>8</v>
      </c>
      <c r="S100">
        <v>-5.5</v>
      </c>
      <c r="T100">
        <v>225</v>
      </c>
      <c r="U100">
        <v>14.5</v>
      </c>
      <c r="V100">
        <v>3.82</v>
      </c>
      <c r="W100">
        <v>0</v>
      </c>
      <c r="X100" s="1">
        <f>IF(OR(Table_0[[#This Row],[Table 0 (4).Fanduel Position]]="PG",Table_0[[#This Row],[Table 0 (4).Fanduel Position.2]]="PG"),Table_0[[#This Row],[IN]],"")</f>
        <v>0</v>
      </c>
      <c r="Y100" s="1" t="str">
        <f>IF(OR(Table_0[[#This Row],[Table 0 (4).Fanduel Position]]="SG",Table_0[[#This Row],[Table 0 (4).Fanduel Position.2]]="SG"),Table_0[[#This Row],[IN]],"")</f>
        <v/>
      </c>
      <c r="Z100" s="1" t="str">
        <f>IF(OR(Table_0[[#This Row],[Table 0 (4).Fanduel Position]]="SF",Table_0[[#This Row],[Table 0 (4).Fanduel Position.2]]="SF"),Table_0[[#This Row],[IN]],"")</f>
        <v/>
      </c>
      <c r="AA100" s="1" t="str">
        <f>IF(OR(Table_0[[#This Row],[Table 0 (4).Fanduel Position]]="PF",Table_0[[#This Row],[Table 0 (4).Fanduel Position.2]]="PF"),Table_0[[#This Row],[IN]],"")</f>
        <v/>
      </c>
      <c r="AB100" s="1" t="str">
        <f>IF(OR(Table_0[[#This Row],[Table 0 (4).Fanduel Position]]="C",Table_0[[#This Row],[Table 0 (4).Fanduel Position.2]]="C"),Table_0[[#This Row],[IN]],"")</f>
        <v/>
      </c>
      <c r="AC100" s="1"/>
      <c r="AL100" t="str">
        <f t="shared" si="1"/>
        <v/>
      </c>
    </row>
    <row r="101" spans="1:38" x14ac:dyDescent="0.3">
      <c r="A101" s="1" t="s">
        <v>186</v>
      </c>
      <c r="B101" s="1" t="s">
        <v>1468</v>
      </c>
      <c r="C101" s="1" t="s">
        <v>257</v>
      </c>
      <c r="D101" s="1" t="s">
        <v>16</v>
      </c>
      <c r="E101" s="1" t="s">
        <v>18</v>
      </c>
      <c r="F101" s="3" t="s">
        <v>17</v>
      </c>
      <c r="G101">
        <v>0</v>
      </c>
      <c r="H101" s="1" t="s">
        <v>22</v>
      </c>
      <c r="I101" s="1" t="s">
        <v>241</v>
      </c>
      <c r="J101">
        <v>0.93</v>
      </c>
      <c r="K101">
        <v>0</v>
      </c>
      <c r="L101">
        <v>3000</v>
      </c>
      <c r="M101">
        <v>0</v>
      </c>
      <c r="N101">
        <v>0</v>
      </c>
      <c r="O101" s="1">
        <v>3500</v>
      </c>
      <c r="P101" s="1"/>
      <c r="Q101" s="1"/>
      <c r="W101">
        <v>0</v>
      </c>
      <c r="X101" s="1" t="str">
        <f>IF(OR(Table_0[[#This Row],[Table 0 (4).Fanduel Position]]="PG",Table_0[[#This Row],[Table 0 (4).Fanduel Position.2]]="PG"),Table_0[[#This Row],[IN]],"")</f>
        <v/>
      </c>
      <c r="Y101" s="1" t="str">
        <f>IF(OR(Table_0[[#This Row],[Table 0 (4).Fanduel Position]]="SG",Table_0[[#This Row],[Table 0 (4).Fanduel Position.2]]="SG"),Table_0[[#This Row],[IN]],"")</f>
        <v/>
      </c>
      <c r="Z101" s="1" t="str">
        <f>IF(OR(Table_0[[#This Row],[Table 0 (4).Fanduel Position]]="SF",Table_0[[#This Row],[Table 0 (4).Fanduel Position.2]]="SF"),Table_0[[#This Row],[IN]],"")</f>
        <v/>
      </c>
      <c r="AA101" s="1" t="str">
        <f>IF(OR(Table_0[[#This Row],[Table 0 (4).Fanduel Position]]="PF",Table_0[[#This Row],[Table 0 (4).Fanduel Position.2]]="PF"),Table_0[[#This Row],[IN]],"")</f>
        <v/>
      </c>
      <c r="AB101" s="1" t="str">
        <f>IF(OR(Table_0[[#This Row],[Table 0 (4).Fanduel Position]]="C",Table_0[[#This Row],[Table 0 (4).Fanduel Position.2]]="C"),Table_0[[#This Row],[IN]],"")</f>
        <v/>
      </c>
      <c r="AC101" s="1"/>
      <c r="AL101" t="str">
        <f t="shared" si="1"/>
        <v/>
      </c>
    </row>
    <row r="102" spans="1:38" x14ac:dyDescent="0.3">
      <c r="A102" s="1" t="s">
        <v>231</v>
      </c>
      <c r="B102" s="1" t="s">
        <v>152</v>
      </c>
      <c r="C102" s="1" t="s">
        <v>382</v>
      </c>
      <c r="D102" s="1" t="s">
        <v>21</v>
      </c>
      <c r="E102" s="1"/>
      <c r="F102" s="3" t="s">
        <v>237</v>
      </c>
      <c r="G102">
        <v>20.98</v>
      </c>
      <c r="H102" s="1" t="s">
        <v>1437</v>
      </c>
      <c r="I102" s="1" t="s">
        <v>1279</v>
      </c>
      <c r="J102">
        <v>0.86</v>
      </c>
      <c r="K102">
        <v>2</v>
      </c>
      <c r="L102">
        <v>3000</v>
      </c>
      <c r="M102">
        <v>8.98</v>
      </c>
      <c r="N102">
        <v>18.71</v>
      </c>
      <c r="O102" s="1">
        <v>3500</v>
      </c>
      <c r="P102" s="1"/>
      <c r="Q102" s="1"/>
      <c r="W102">
        <v>0</v>
      </c>
      <c r="X102" s="1" t="str">
        <f>IF(OR(Table_0[[#This Row],[Table 0 (4).Fanduel Position]]="PG",Table_0[[#This Row],[Table 0 (4).Fanduel Position.2]]="PG"),Table_0[[#This Row],[IN]],"")</f>
        <v/>
      </c>
      <c r="Y102" s="1" t="str">
        <f>IF(OR(Table_0[[#This Row],[Table 0 (4).Fanduel Position]]="SG",Table_0[[#This Row],[Table 0 (4).Fanduel Position.2]]="SG"),Table_0[[#This Row],[IN]],"")</f>
        <v/>
      </c>
      <c r="Z102" s="1" t="str">
        <f>IF(OR(Table_0[[#This Row],[Table 0 (4).Fanduel Position]]="SF",Table_0[[#This Row],[Table 0 (4).Fanduel Position.2]]="SF"),Table_0[[#This Row],[IN]],"")</f>
        <v/>
      </c>
      <c r="AA102" s="1" t="str">
        <f>IF(OR(Table_0[[#This Row],[Table 0 (4).Fanduel Position]]="PF",Table_0[[#This Row],[Table 0 (4).Fanduel Position.2]]="PF"),Table_0[[#This Row],[IN]],"")</f>
        <v/>
      </c>
      <c r="AB102" s="1" t="str">
        <f>IF(OR(Table_0[[#This Row],[Table 0 (4).Fanduel Position]]="C",Table_0[[#This Row],[Table 0 (4).Fanduel Position.2]]="C"),Table_0[[#This Row],[IN]],"")</f>
        <v/>
      </c>
      <c r="AC102" s="1"/>
      <c r="AL102" t="str">
        <f t="shared" si="1"/>
        <v/>
      </c>
    </row>
    <row r="103" spans="1:38" x14ac:dyDescent="0.3">
      <c r="A103" s="1" t="s">
        <v>1469</v>
      </c>
      <c r="B103" s="1" t="s">
        <v>1470</v>
      </c>
      <c r="C103" s="1" t="s">
        <v>381</v>
      </c>
      <c r="D103" s="1" t="s">
        <v>13</v>
      </c>
      <c r="E103" s="1"/>
      <c r="F103" s="3" t="s">
        <v>17</v>
      </c>
      <c r="G103">
        <v>0</v>
      </c>
      <c r="H103" s="1" t="s">
        <v>22</v>
      </c>
      <c r="I103" s="1" t="s">
        <v>32</v>
      </c>
      <c r="J103">
        <v>0.6</v>
      </c>
      <c r="K103">
        <v>0</v>
      </c>
      <c r="L103">
        <v>3000</v>
      </c>
      <c r="M103">
        <v>0</v>
      </c>
      <c r="N103">
        <v>0</v>
      </c>
      <c r="O103" s="1">
        <v>3500</v>
      </c>
      <c r="P103" s="1"/>
      <c r="Q103" s="1"/>
      <c r="W103">
        <v>0</v>
      </c>
      <c r="X103" s="1" t="str">
        <f>IF(OR(Table_0[[#This Row],[Table 0 (4).Fanduel Position]]="PG",Table_0[[#This Row],[Table 0 (4).Fanduel Position.2]]="PG"),Table_0[[#This Row],[IN]],"")</f>
        <v/>
      </c>
      <c r="Y103" s="1" t="str">
        <f>IF(OR(Table_0[[#This Row],[Table 0 (4).Fanduel Position]]="SG",Table_0[[#This Row],[Table 0 (4).Fanduel Position.2]]="SG"),Table_0[[#This Row],[IN]],"")</f>
        <v/>
      </c>
      <c r="Z103" s="1" t="str">
        <f>IF(OR(Table_0[[#This Row],[Table 0 (4).Fanduel Position]]="SF",Table_0[[#This Row],[Table 0 (4).Fanduel Position.2]]="SF"),Table_0[[#This Row],[IN]],"")</f>
        <v/>
      </c>
      <c r="AA103" s="1" t="str">
        <f>IF(OR(Table_0[[#This Row],[Table 0 (4).Fanduel Position]]="PF",Table_0[[#This Row],[Table 0 (4).Fanduel Position.2]]="PF"),Table_0[[#This Row],[IN]],"")</f>
        <v/>
      </c>
      <c r="AB103" s="1" t="str">
        <f>IF(OR(Table_0[[#This Row],[Table 0 (4).Fanduel Position]]="C",Table_0[[#This Row],[Table 0 (4).Fanduel Position.2]]="C"),Table_0[[#This Row],[IN]],"")</f>
        <v/>
      </c>
      <c r="AC103" s="1"/>
      <c r="AL103" t="str">
        <f t="shared" si="1"/>
        <v/>
      </c>
    </row>
    <row r="104" spans="1:38" x14ac:dyDescent="0.3">
      <c r="A104" s="1" t="s">
        <v>891</v>
      </c>
      <c r="B104" s="1" t="s">
        <v>892</v>
      </c>
      <c r="C104" s="1" t="s">
        <v>401</v>
      </c>
      <c r="D104" s="1" t="s">
        <v>16</v>
      </c>
      <c r="E104" s="1"/>
      <c r="F104" s="3" t="s">
        <v>24</v>
      </c>
      <c r="G104">
        <v>29.17</v>
      </c>
      <c r="H104" s="1" t="s">
        <v>1471</v>
      </c>
      <c r="I104" s="1" t="s">
        <v>1264</v>
      </c>
      <c r="J104">
        <v>0.98</v>
      </c>
      <c r="K104">
        <v>28</v>
      </c>
      <c r="L104">
        <v>5100</v>
      </c>
      <c r="M104">
        <v>28.63</v>
      </c>
      <c r="N104">
        <v>35.090000000000003</v>
      </c>
      <c r="O104" s="1">
        <v>5600</v>
      </c>
      <c r="P104" s="1" t="s">
        <v>14</v>
      </c>
      <c r="Q104" s="1" t="s">
        <v>16</v>
      </c>
      <c r="R104">
        <v>4</v>
      </c>
      <c r="S104">
        <v>7</v>
      </c>
      <c r="T104">
        <v>233.5</v>
      </c>
      <c r="U104">
        <v>24.6</v>
      </c>
      <c r="V104">
        <v>4.3899999999999997</v>
      </c>
      <c r="W104">
        <v>0</v>
      </c>
      <c r="X104" s="1" t="str">
        <f>IF(OR(Table_0[[#This Row],[Table 0 (4).Fanduel Position]]="PG",Table_0[[#This Row],[Table 0 (4).Fanduel Position.2]]="PG"),Table_0[[#This Row],[IN]],"")</f>
        <v/>
      </c>
      <c r="Y104" s="1" t="str">
        <f>IF(OR(Table_0[[#This Row],[Table 0 (4).Fanduel Position]]="SG",Table_0[[#This Row],[Table 0 (4).Fanduel Position.2]]="SG"),Table_0[[#This Row],[IN]],"")</f>
        <v/>
      </c>
      <c r="Z104" s="1">
        <f>IF(OR(Table_0[[#This Row],[Table 0 (4).Fanduel Position]]="SF",Table_0[[#This Row],[Table 0 (4).Fanduel Position.2]]="SF"),Table_0[[#This Row],[IN]],"")</f>
        <v>0</v>
      </c>
      <c r="AA104" s="1">
        <f>IF(OR(Table_0[[#This Row],[Table 0 (4).Fanduel Position]]="PF",Table_0[[#This Row],[Table 0 (4).Fanduel Position.2]]="PF"),Table_0[[#This Row],[IN]],"")</f>
        <v>0</v>
      </c>
      <c r="AB104" s="1" t="str">
        <f>IF(OR(Table_0[[#This Row],[Table 0 (4).Fanduel Position]]="C",Table_0[[#This Row],[Table 0 (4).Fanduel Position.2]]="C"),Table_0[[#This Row],[IN]],"")</f>
        <v/>
      </c>
      <c r="AC104" s="1"/>
      <c r="AL104" t="str">
        <f t="shared" si="1"/>
        <v/>
      </c>
    </row>
    <row r="105" spans="1:38" x14ac:dyDescent="0.3">
      <c r="A105" s="1" t="s">
        <v>1472</v>
      </c>
      <c r="B105" s="1" t="s">
        <v>1473</v>
      </c>
      <c r="C105" s="1" t="s">
        <v>388</v>
      </c>
      <c r="D105" s="1" t="s">
        <v>13</v>
      </c>
      <c r="E105" s="1"/>
      <c r="F105" s="3" t="s">
        <v>17</v>
      </c>
      <c r="G105">
        <v>7.23</v>
      </c>
      <c r="H105" s="1" t="s">
        <v>1474</v>
      </c>
      <c r="I105" s="1" t="s">
        <v>29</v>
      </c>
      <c r="J105">
        <v>0.67</v>
      </c>
      <c r="K105">
        <v>0</v>
      </c>
      <c r="L105">
        <v>3000</v>
      </c>
      <c r="M105">
        <v>0</v>
      </c>
      <c r="N105">
        <v>0</v>
      </c>
      <c r="O105" s="1">
        <v>3500</v>
      </c>
      <c r="P105" s="1"/>
      <c r="Q105" s="1"/>
      <c r="W105">
        <v>0</v>
      </c>
      <c r="X105" s="1" t="str">
        <f>IF(OR(Table_0[[#This Row],[Table 0 (4).Fanduel Position]]="PG",Table_0[[#This Row],[Table 0 (4).Fanduel Position.2]]="PG"),Table_0[[#This Row],[IN]],"")</f>
        <v/>
      </c>
      <c r="Y105" s="1" t="str">
        <f>IF(OR(Table_0[[#This Row],[Table 0 (4).Fanduel Position]]="SG",Table_0[[#This Row],[Table 0 (4).Fanduel Position.2]]="SG"),Table_0[[#This Row],[IN]],"")</f>
        <v/>
      </c>
      <c r="Z105" s="1" t="str">
        <f>IF(OR(Table_0[[#This Row],[Table 0 (4).Fanduel Position]]="SF",Table_0[[#This Row],[Table 0 (4).Fanduel Position.2]]="SF"),Table_0[[#This Row],[IN]],"")</f>
        <v/>
      </c>
      <c r="AA105" s="1" t="str">
        <f>IF(OR(Table_0[[#This Row],[Table 0 (4).Fanduel Position]]="PF",Table_0[[#This Row],[Table 0 (4).Fanduel Position.2]]="PF"),Table_0[[#This Row],[IN]],"")</f>
        <v/>
      </c>
      <c r="AB105" s="1" t="str">
        <f>IF(OR(Table_0[[#This Row],[Table 0 (4).Fanduel Position]]="C",Table_0[[#This Row],[Table 0 (4).Fanduel Position.2]]="C"),Table_0[[#This Row],[IN]],"")</f>
        <v/>
      </c>
      <c r="AC105" s="1"/>
      <c r="AL105" t="str">
        <f t="shared" si="1"/>
        <v/>
      </c>
    </row>
    <row r="106" spans="1:38" x14ac:dyDescent="0.3">
      <c r="A106" s="1" t="s">
        <v>1475</v>
      </c>
      <c r="B106" s="1" t="s">
        <v>1476</v>
      </c>
      <c r="C106" s="1" t="s">
        <v>257</v>
      </c>
      <c r="D106" s="1" t="s">
        <v>18</v>
      </c>
      <c r="E106" s="1"/>
      <c r="F106" s="3" t="s">
        <v>17</v>
      </c>
      <c r="G106">
        <v>0</v>
      </c>
      <c r="H106" s="1" t="s">
        <v>22</v>
      </c>
      <c r="I106" s="1" t="s">
        <v>377</v>
      </c>
      <c r="J106">
        <v>0</v>
      </c>
      <c r="K106">
        <v>0</v>
      </c>
      <c r="L106">
        <v>3000</v>
      </c>
      <c r="M106">
        <v>0</v>
      </c>
      <c r="N106">
        <v>0</v>
      </c>
      <c r="O106" s="1">
        <v>100000</v>
      </c>
      <c r="P106" s="1"/>
      <c r="Q106" s="1"/>
      <c r="W106">
        <v>0</v>
      </c>
      <c r="X106" s="1" t="str">
        <f>IF(OR(Table_0[[#This Row],[Table 0 (4).Fanduel Position]]="PG",Table_0[[#This Row],[Table 0 (4).Fanduel Position.2]]="PG"),Table_0[[#This Row],[IN]],"")</f>
        <v/>
      </c>
      <c r="Y106" s="1" t="str">
        <f>IF(OR(Table_0[[#This Row],[Table 0 (4).Fanduel Position]]="SG",Table_0[[#This Row],[Table 0 (4).Fanduel Position.2]]="SG"),Table_0[[#This Row],[IN]],"")</f>
        <v/>
      </c>
      <c r="Z106" s="1" t="str">
        <f>IF(OR(Table_0[[#This Row],[Table 0 (4).Fanduel Position]]="SF",Table_0[[#This Row],[Table 0 (4).Fanduel Position.2]]="SF"),Table_0[[#This Row],[IN]],"")</f>
        <v/>
      </c>
      <c r="AA106" s="1" t="str">
        <f>IF(OR(Table_0[[#This Row],[Table 0 (4).Fanduel Position]]="PF",Table_0[[#This Row],[Table 0 (4).Fanduel Position.2]]="PF"),Table_0[[#This Row],[IN]],"")</f>
        <v/>
      </c>
      <c r="AB106" s="1" t="str">
        <f>IF(OR(Table_0[[#This Row],[Table 0 (4).Fanduel Position]]="C",Table_0[[#This Row],[Table 0 (4).Fanduel Position.2]]="C"),Table_0[[#This Row],[IN]],"")</f>
        <v/>
      </c>
      <c r="AC106" s="1"/>
      <c r="AL106" t="str">
        <f t="shared" si="1"/>
        <v/>
      </c>
    </row>
    <row r="107" spans="1:38" x14ac:dyDescent="0.3">
      <c r="A107" s="1" t="s">
        <v>1477</v>
      </c>
      <c r="B107" s="1" t="s">
        <v>797</v>
      </c>
      <c r="C107" s="1" t="s">
        <v>408</v>
      </c>
      <c r="D107" s="1" t="s">
        <v>18</v>
      </c>
      <c r="E107" s="1"/>
      <c r="F107" s="3" t="s">
        <v>1325</v>
      </c>
      <c r="G107">
        <v>26.74</v>
      </c>
      <c r="H107" s="1" t="s">
        <v>1260</v>
      </c>
      <c r="I107" s="1" t="s">
        <v>1252</v>
      </c>
      <c r="J107">
        <v>1.1200000000000001</v>
      </c>
      <c r="K107">
        <v>31</v>
      </c>
      <c r="L107">
        <v>6300</v>
      </c>
      <c r="M107">
        <v>34.340000000000003</v>
      </c>
      <c r="N107">
        <v>34.07</v>
      </c>
      <c r="O107" s="1">
        <v>6100</v>
      </c>
      <c r="P107" s="1" t="s">
        <v>18</v>
      </c>
      <c r="Q107" s="1"/>
      <c r="R107">
        <v>30</v>
      </c>
      <c r="S107">
        <v>-7</v>
      </c>
      <c r="T107">
        <v>233.5</v>
      </c>
      <c r="U107">
        <v>37.5</v>
      </c>
      <c r="V107">
        <v>6.15</v>
      </c>
      <c r="W107">
        <v>1</v>
      </c>
      <c r="X107" s="1" t="str">
        <f>IF(OR(Table_0[[#This Row],[Table 0 (4).Fanduel Position]]="PG",Table_0[[#This Row],[Table 0 (4).Fanduel Position.2]]="PG"),Table_0[[#This Row],[IN]],"")</f>
        <v/>
      </c>
      <c r="Y107" s="1" t="str">
        <f>IF(OR(Table_0[[#This Row],[Table 0 (4).Fanduel Position]]="SG",Table_0[[#This Row],[Table 0 (4).Fanduel Position.2]]="SG"),Table_0[[#This Row],[IN]],"")</f>
        <v/>
      </c>
      <c r="Z107" s="1" t="str">
        <f>IF(OR(Table_0[[#This Row],[Table 0 (4).Fanduel Position]]="SF",Table_0[[#This Row],[Table 0 (4).Fanduel Position.2]]="SF"),Table_0[[#This Row],[IN]],"")</f>
        <v/>
      </c>
      <c r="AA107" s="1" t="str">
        <f>IF(OR(Table_0[[#This Row],[Table 0 (4).Fanduel Position]]="PF",Table_0[[#This Row],[Table 0 (4).Fanduel Position.2]]="PF"),Table_0[[#This Row],[IN]],"")</f>
        <v/>
      </c>
      <c r="AB107" s="1">
        <f>IF(OR(Table_0[[#This Row],[Table 0 (4).Fanduel Position]]="C",Table_0[[#This Row],[Table 0 (4).Fanduel Position.2]]="C"),Table_0[[#This Row],[IN]],"")</f>
        <v>1</v>
      </c>
      <c r="AC107" s="1"/>
      <c r="AL107" t="str">
        <f t="shared" si="1"/>
        <v/>
      </c>
    </row>
    <row r="108" spans="1:38" x14ac:dyDescent="0.3">
      <c r="A108" s="1" t="s">
        <v>1478</v>
      </c>
      <c r="B108" s="1" t="s">
        <v>204</v>
      </c>
      <c r="C108" s="1" t="s">
        <v>382</v>
      </c>
      <c r="D108" s="1" t="s">
        <v>16</v>
      </c>
      <c r="E108" s="1"/>
      <c r="F108" s="3" t="s">
        <v>1438</v>
      </c>
      <c r="G108">
        <v>19.21</v>
      </c>
      <c r="H108" s="1" t="s">
        <v>1479</v>
      </c>
      <c r="I108" s="1" t="s">
        <v>15</v>
      </c>
      <c r="J108">
        <v>0.83</v>
      </c>
      <c r="K108">
        <v>18</v>
      </c>
      <c r="L108">
        <v>3400</v>
      </c>
      <c r="M108">
        <v>17.829999999999998</v>
      </c>
      <c r="N108">
        <v>32.78</v>
      </c>
      <c r="O108" s="1">
        <v>4300</v>
      </c>
      <c r="P108" s="1" t="s">
        <v>16</v>
      </c>
      <c r="Q108" s="1"/>
      <c r="R108">
        <v>25</v>
      </c>
      <c r="S108">
        <v>5.5</v>
      </c>
      <c r="T108">
        <v>225</v>
      </c>
      <c r="U108">
        <v>15.4</v>
      </c>
      <c r="V108">
        <v>3.59</v>
      </c>
      <c r="W108">
        <v>0</v>
      </c>
      <c r="X108" s="1" t="str">
        <f>IF(OR(Table_0[[#This Row],[Table 0 (4).Fanduel Position]]="PG",Table_0[[#This Row],[Table 0 (4).Fanduel Position.2]]="PG"),Table_0[[#This Row],[IN]],"")</f>
        <v/>
      </c>
      <c r="Y108" s="1" t="str">
        <f>IF(OR(Table_0[[#This Row],[Table 0 (4).Fanduel Position]]="SG",Table_0[[#This Row],[Table 0 (4).Fanduel Position.2]]="SG"),Table_0[[#This Row],[IN]],"")</f>
        <v/>
      </c>
      <c r="Z108" s="1" t="str">
        <f>IF(OR(Table_0[[#This Row],[Table 0 (4).Fanduel Position]]="SF",Table_0[[#This Row],[Table 0 (4).Fanduel Position.2]]="SF"),Table_0[[#This Row],[IN]],"")</f>
        <v/>
      </c>
      <c r="AA108" s="1">
        <f>IF(OR(Table_0[[#This Row],[Table 0 (4).Fanduel Position]]="PF",Table_0[[#This Row],[Table 0 (4).Fanduel Position.2]]="PF"),Table_0[[#This Row],[IN]],"")</f>
        <v>0</v>
      </c>
      <c r="AB108" s="1" t="str">
        <f>IF(OR(Table_0[[#This Row],[Table 0 (4).Fanduel Position]]="C",Table_0[[#This Row],[Table 0 (4).Fanduel Position.2]]="C"),Table_0[[#This Row],[IN]],"")</f>
        <v/>
      </c>
      <c r="AC108" s="1"/>
      <c r="AL108" t="str">
        <f t="shared" si="1"/>
        <v>Poeltl</v>
      </c>
    </row>
    <row r="109" spans="1:38" x14ac:dyDescent="0.3">
      <c r="A109" s="1" t="s">
        <v>1480</v>
      </c>
      <c r="B109" s="1" t="s">
        <v>1481</v>
      </c>
      <c r="C109" s="1" t="s">
        <v>382</v>
      </c>
      <c r="D109" s="1" t="s">
        <v>13</v>
      </c>
      <c r="E109" s="1"/>
      <c r="F109" s="3" t="s">
        <v>17</v>
      </c>
      <c r="G109">
        <v>0</v>
      </c>
      <c r="H109" s="1" t="s">
        <v>239</v>
      </c>
      <c r="I109" s="1" t="s">
        <v>1394</v>
      </c>
      <c r="J109">
        <v>0.91</v>
      </c>
      <c r="K109">
        <v>0</v>
      </c>
      <c r="L109">
        <v>3000</v>
      </c>
      <c r="M109">
        <v>0</v>
      </c>
      <c r="N109">
        <v>0</v>
      </c>
      <c r="O109" s="1">
        <v>3500</v>
      </c>
      <c r="P109" s="1"/>
      <c r="Q109" s="1"/>
      <c r="W109">
        <v>0</v>
      </c>
      <c r="X109" s="1" t="str">
        <f>IF(OR(Table_0[[#This Row],[Table 0 (4).Fanduel Position]]="PG",Table_0[[#This Row],[Table 0 (4).Fanduel Position.2]]="PG"),Table_0[[#This Row],[IN]],"")</f>
        <v/>
      </c>
      <c r="Y109" s="1" t="str">
        <f>IF(OR(Table_0[[#This Row],[Table 0 (4).Fanduel Position]]="SG",Table_0[[#This Row],[Table 0 (4).Fanduel Position.2]]="SG"),Table_0[[#This Row],[IN]],"")</f>
        <v/>
      </c>
      <c r="Z109" s="1" t="str">
        <f>IF(OR(Table_0[[#This Row],[Table 0 (4).Fanduel Position]]="SF",Table_0[[#This Row],[Table 0 (4).Fanduel Position.2]]="SF"),Table_0[[#This Row],[IN]],"")</f>
        <v/>
      </c>
      <c r="AA109" s="1" t="str">
        <f>IF(OR(Table_0[[#This Row],[Table 0 (4).Fanduel Position]]="PF",Table_0[[#This Row],[Table 0 (4).Fanduel Position.2]]="PF"),Table_0[[#This Row],[IN]],"")</f>
        <v/>
      </c>
      <c r="AB109" s="1" t="str">
        <f>IF(OR(Table_0[[#This Row],[Table 0 (4).Fanduel Position]]="C",Table_0[[#This Row],[Table 0 (4).Fanduel Position.2]]="C"),Table_0[[#This Row],[IN]],"")</f>
        <v/>
      </c>
      <c r="AC109" s="1"/>
      <c r="AL109" t="str">
        <f t="shared" si="1"/>
        <v/>
      </c>
    </row>
    <row r="110" spans="1:38" x14ac:dyDescent="0.3">
      <c r="A110" s="1" t="s">
        <v>1480</v>
      </c>
      <c r="B110" s="1" t="s">
        <v>1482</v>
      </c>
      <c r="C110" s="1" t="s">
        <v>398</v>
      </c>
      <c r="D110" s="1" t="s">
        <v>21</v>
      </c>
      <c r="E110" s="1"/>
      <c r="F110" s="3" t="s">
        <v>222</v>
      </c>
      <c r="G110">
        <v>36.549999999999997</v>
      </c>
      <c r="H110" s="1" t="s">
        <v>1483</v>
      </c>
      <c r="I110" s="1" t="s">
        <v>1417</v>
      </c>
      <c r="J110">
        <v>1.38</v>
      </c>
      <c r="K110">
        <v>33</v>
      </c>
      <c r="L110">
        <v>10400</v>
      </c>
      <c r="M110">
        <v>52.75</v>
      </c>
      <c r="N110">
        <v>31.7</v>
      </c>
      <c r="O110" s="1">
        <v>9800</v>
      </c>
      <c r="P110" s="1" t="s">
        <v>13</v>
      </c>
      <c r="Q110" s="1" t="s">
        <v>21</v>
      </c>
      <c r="R110">
        <v>13</v>
      </c>
      <c r="S110">
        <v>2</v>
      </c>
      <c r="T110">
        <v>235.5</v>
      </c>
      <c r="U110">
        <v>46.8</v>
      </c>
      <c r="V110">
        <v>4.78</v>
      </c>
      <c r="W110">
        <v>0</v>
      </c>
      <c r="X110" s="1">
        <f>IF(OR(Table_0[[#This Row],[Table 0 (4).Fanduel Position]]="PG",Table_0[[#This Row],[Table 0 (4).Fanduel Position.2]]="PG"),Table_0[[#This Row],[IN]],"")</f>
        <v>0</v>
      </c>
      <c r="Y110" s="1">
        <f>IF(OR(Table_0[[#This Row],[Table 0 (4).Fanduel Position]]="SG",Table_0[[#This Row],[Table 0 (4).Fanduel Position.2]]="SG"),Table_0[[#This Row],[IN]],"")</f>
        <v>0</v>
      </c>
      <c r="Z110" s="1" t="str">
        <f>IF(OR(Table_0[[#This Row],[Table 0 (4).Fanduel Position]]="SF",Table_0[[#This Row],[Table 0 (4).Fanduel Position.2]]="SF"),Table_0[[#This Row],[IN]],"")</f>
        <v/>
      </c>
      <c r="AA110" s="1" t="str">
        <f>IF(OR(Table_0[[#This Row],[Table 0 (4).Fanduel Position]]="PF",Table_0[[#This Row],[Table 0 (4).Fanduel Position.2]]="PF"),Table_0[[#This Row],[IN]],"")</f>
        <v/>
      </c>
      <c r="AB110" s="1" t="str">
        <f>IF(OR(Table_0[[#This Row],[Table 0 (4).Fanduel Position]]="C",Table_0[[#This Row],[Table 0 (4).Fanduel Position.2]]="C"),Table_0[[#This Row],[IN]],"")</f>
        <v/>
      </c>
      <c r="AC110" s="1"/>
      <c r="AL110" t="str">
        <f t="shared" si="1"/>
        <v/>
      </c>
    </row>
    <row r="111" spans="1:38" x14ac:dyDescent="0.3">
      <c r="A111" s="1" t="s">
        <v>1484</v>
      </c>
      <c r="B111" s="1" t="s">
        <v>1485</v>
      </c>
      <c r="C111" s="1" t="s">
        <v>427</v>
      </c>
      <c r="D111" s="1" t="s">
        <v>21</v>
      </c>
      <c r="E111" s="1"/>
      <c r="F111" s="3" t="s">
        <v>17</v>
      </c>
      <c r="G111">
        <v>0</v>
      </c>
      <c r="H111" s="1" t="s">
        <v>1414</v>
      </c>
      <c r="I111" s="1" t="s">
        <v>1486</v>
      </c>
      <c r="J111">
        <v>1.1000000000000001</v>
      </c>
      <c r="K111">
        <v>0</v>
      </c>
      <c r="L111">
        <v>3000</v>
      </c>
      <c r="M111">
        <v>0</v>
      </c>
      <c r="N111">
        <v>0</v>
      </c>
      <c r="O111" s="1">
        <v>3800</v>
      </c>
      <c r="P111" s="1" t="s">
        <v>13</v>
      </c>
      <c r="Q111" s="1"/>
      <c r="R111">
        <v>17</v>
      </c>
      <c r="S111">
        <v>-5.5</v>
      </c>
      <c r="T111">
        <v>222.5</v>
      </c>
      <c r="U111">
        <v>0</v>
      </c>
      <c r="V111">
        <v>0</v>
      </c>
      <c r="W111">
        <v>0</v>
      </c>
      <c r="X111" s="1" t="str">
        <f>IF(OR(Table_0[[#This Row],[Table 0 (4).Fanduel Position]]="PG",Table_0[[#This Row],[Table 0 (4).Fanduel Position.2]]="PG"),Table_0[[#This Row],[IN]],"")</f>
        <v/>
      </c>
      <c r="Y111" s="1">
        <f>IF(OR(Table_0[[#This Row],[Table 0 (4).Fanduel Position]]="SG",Table_0[[#This Row],[Table 0 (4).Fanduel Position.2]]="SG"),Table_0[[#This Row],[IN]],"")</f>
        <v>0</v>
      </c>
      <c r="Z111" s="1" t="str">
        <f>IF(OR(Table_0[[#This Row],[Table 0 (4).Fanduel Position]]="SF",Table_0[[#This Row],[Table 0 (4).Fanduel Position.2]]="SF"),Table_0[[#This Row],[IN]],"")</f>
        <v/>
      </c>
      <c r="AA111" s="1" t="str">
        <f>IF(OR(Table_0[[#This Row],[Table 0 (4).Fanduel Position]]="PF",Table_0[[#This Row],[Table 0 (4).Fanduel Position.2]]="PF"),Table_0[[#This Row],[IN]],"")</f>
        <v/>
      </c>
      <c r="AB111" s="1" t="str">
        <f>IF(OR(Table_0[[#This Row],[Table 0 (4).Fanduel Position]]="C",Table_0[[#This Row],[Table 0 (4).Fanduel Position.2]]="C"),Table_0[[#This Row],[IN]],"")</f>
        <v/>
      </c>
      <c r="AC111" s="1"/>
      <c r="AL111" t="str">
        <f t="shared" si="1"/>
        <v/>
      </c>
    </row>
    <row r="112" spans="1:38" x14ac:dyDescent="0.3">
      <c r="A112" s="1" t="s">
        <v>1487</v>
      </c>
      <c r="B112" s="1" t="s">
        <v>789</v>
      </c>
      <c r="C112" s="1" t="s">
        <v>428</v>
      </c>
      <c r="D112" s="1" t="s">
        <v>18</v>
      </c>
      <c r="E112" s="1"/>
      <c r="F112" s="3" t="s">
        <v>1396</v>
      </c>
      <c r="G112">
        <v>29.57</v>
      </c>
      <c r="H112" s="1" t="s">
        <v>1455</v>
      </c>
      <c r="I112" s="1" t="s">
        <v>1424</v>
      </c>
      <c r="J112">
        <v>1.17</v>
      </c>
      <c r="K112">
        <v>34</v>
      </c>
      <c r="L112">
        <v>7900</v>
      </c>
      <c r="M112">
        <v>39.22</v>
      </c>
      <c r="N112">
        <v>31.03</v>
      </c>
      <c r="O112" s="1">
        <v>8000</v>
      </c>
      <c r="P112" s="1" t="s">
        <v>18</v>
      </c>
      <c r="Q112" s="1" t="s">
        <v>16</v>
      </c>
      <c r="R112">
        <v>21</v>
      </c>
      <c r="S112">
        <v>5.5</v>
      </c>
      <c r="T112">
        <v>222.5</v>
      </c>
      <c r="U112">
        <v>38.700000000000003</v>
      </c>
      <c r="V112">
        <v>4.84</v>
      </c>
      <c r="W112">
        <v>0</v>
      </c>
      <c r="X112" s="1" t="str">
        <f>IF(OR(Table_0[[#This Row],[Table 0 (4).Fanduel Position]]="PG",Table_0[[#This Row],[Table 0 (4).Fanduel Position.2]]="PG"),Table_0[[#This Row],[IN]],"")</f>
        <v/>
      </c>
      <c r="Y112" s="1" t="str">
        <f>IF(OR(Table_0[[#This Row],[Table 0 (4).Fanduel Position]]="SG",Table_0[[#This Row],[Table 0 (4).Fanduel Position.2]]="SG"),Table_0[[#This Row],[IN]],"")</f>
        <v/>
      </c>
      <c r="Z112" s="1" t="str">
        <f>IF(OR(Table_0[[#This Row],[Table 0 (4).Fanduel Position]]="SF",Table_0[[#This Row],[Table 0 (4).Fanduel Position.2]]="SF"),Table_0[[#This Row],[IN]],"")</f>
        <v/>
      </c>
      <c r="AA112" s="1">
        <f>IF(OR(Table_0[[#This Row],[Table 0 (4).Fanduel Position]]="PF",Table_0[[#This Row],[Table 0 (4).Fanduel Position.2]]="PF"),Table_0[[#This Row],[IN]],"")</f>
        <v>0</v>
      </c>
      <c r="AB112" s="1">
        <f>IF(OR(Table_0[[#This Row],[Table 0 (4).Fanduel Position]]="C",Table_0[[#This Row],[Table 0 (4).Fanduel Position.2]]="C"),Table_0[[#This Row],[IN]],"")</f>
        <v>0</v>
      </c>
      <c r="AC112" s="1"/>
      <c r="AL112" t="str">
        <f t="shared" si="1"/>
        <v/>
      </c>
    </row>
    <row r="113" spans="1:38" x14ac:dyDescent="0.3">
      <c r="A113" s="1" t="s">
        <v>1488</v>
      </c>
      <c r="B113" s="1" t="s">
        <v>777</v>
      </c>
      <c r="C113" s="1" t="s">
        <v>385</v>
      </c>
      <c r="D113" s="1" t="s">
        <v>14</v>
      </c>
      <c r="E113" s="1" t="s">
        <v>16</v>
      </c>
      <c r="F113" s="3" t="s">
        <v>1375</v>
      </c>
      <c r="G113">
        <v>35.770000000000003</v>
      </c>
      <c r="H113" s="1" t="s">
        <v>1489</v>
      </c>
      <c r="I113" s="1" t="s">
        <v>1446</v>
      </c>
      <c r="J113">
        <v>1.27</v>
      </c>
      <c r="K113">
        <v>35</v>
      </c>
      <c r="L113">
        <v>9500</v>
      </c>
      <c r="M113">
        <v>48.95</v>
      </c>
      <c r="N113">
        <v>32.200000000000003</v>
      </c>
      <c r="O113" s="1">
        <v>9700</v>
      </c>
      <c r="P113" s="1" t="s">
        <v>14</v>
      </c>
      <c r="Q113" s="1" t="s">
        <v>16</v>
      </c>
      <c r="R113">
        <v>15</v>
      </c>
      <c r="S113">
        <v>-2</v>
      </c>
      <c r="T113">
        <v>211</v>
      </c>
      <c r="U113">
        <v>42.1</v>
      </c>
      <c r="V113">
        <v>4.34</v>
      </c>
      <c r="W113">
        <v>0</v>
      </c>
      <c r="X113" s="1" t="str">
        <f>IF(OR(Table_0[[#This Row],[Table 0 (4).Fanduel Position]]="PG",Table_0[[#This Row],[Table 0 (4).Fanduel Position.2]]="PG"),Table_0[[#This Row],[IN]],"")</f>
        <v/>
      </c>
      <c r="Y113" s="1" t="str">
        <f>IF(OR(Table_0[[#This Row],[Table 0 (4).Fanduel Position]]="SG",Table_0[[#This Row],[Table 0 (4).Fanduel Position.2]]="SG"),Table_0[[#This Row],[IN]],"")</f>
        <v/>
      </c>
      <c r="Z113" s="1">
        <f>IF(OR(Table_0[[#This Row],[Table 0 (4).Fanduel Position]]="SF",Table_0[[#This Row],[Table 0 (4).Fanduel Position.2]]="SF"),Table_0[[#This Row],[IN]],"")</f>
        <v>0</v>
      </c>
      <c r="AA113" s="1">
        <f>IF(OR(Table_0[[#This Row],[Table 0 (4).Fanduel Position]]="PF",Table_0[[#This Row],[Table 0 (4).Fanduel Position.2]]="PF"),Table_0[[#This Row],[IN]],"")</f>
        <v>0</v>
      </c>
      <c r="AB113" s="1" t="str">
        <f>IF(OR(Table_0[[#This Row],[Table 0 (4).Fanduel Position]]="C",Table_0[[#This Row],[Table 0 (4).Fanduel Position.2]]="C"),Table_0[[#This Row],[IN]],"")</f>
        <v/>
      </c>
      <c r="AC113" s="1"/>
      <c r="AL113" t="str">
        <f t="shared" si="1"/>
        <v/>
      </c>
    </row>
    <row r="114" spans="1:38" x14ac:dyDescent="0.3">
      <c r="A114" s="1" t="s">
        <v>1490</v>
      </c>
      <c r="B114" s="1" t="s">
        <v>1491</v>
      </c>
      <c r="C114" s="1" t="s">
        <v>396</v>
      </c>
      <c r="D114" s="1" t="s">
        <v>18</v>
      </c>
      <c r="E114" s="1"/>
      <c r="F114" s="3" t="s">
        <v>17</v>
      </c>
      <c r="G114">
        <v>0</v>
      </c>
      <c r="H114" s="1" t="s">
        <v>1492</v>
      </c>
      <c r="I114" s="1" t="s">
        <v>367</v>
      </c>
      <c r="J114">
        <v>0.84</v>
      </c>
      <c r="K114">
        <v>0</v>
      </c>
      <c r="L114">
        <v>3000</v>
      </c>
      <c r="M114">
        <v>0</v>
      </c>
      <c r="N114">
        <v>0</v>
      </c>
      <c r="O114" s="1">
        <v>3500</v>
      </c>
      <c r="P114" s="1"/>
      <c r="Q114" s="1"/>
      <c r="W114">
        <v>0</v>
      </c>
      <c r="X114" s="1" t="str">
        <f>IF(OR(Table_0[[#This Row],[Table 0 (4).Fanduel Position]]="PG",Table_0[[#This Row],[Table 0 (4).Fanduel Position.2]]="PG"),Table_0[[#This Row],[IN]],"")</f>
        <v/>
      </c>
      <c r="Y114" s="1" t="str">
        <f>IF(OR(Table_0[[#This Row],[Table 0 (4).Fanduel Position]]="SG",Table_0[[#This Row],[Table 0 (4).Fanduel Position.2]]="SG"),Table_0[[#This Row],[IN]],"")</f>
        <v/>
      </c>
      <c r="Z114" s="1" t="str">
        <f>IF(OR(Table_0[[#This Row],[Table 0 (4).Fanduel Position]]="SF",Table_0[[#This Row],[Table 0 (4).Fanduel Position.2]]="SF"),Table_0[[#This Row],[IN]],"")</f>
        <v/>
      </c>
      <c r="AA114" s="1" t="str">
        <f>IF(OR(Table_0[[#This Row],[Table 0 (4).Fanduel Position]]="PF",Table_0[[#This Row],[Table 0 (4).Fanduel Position.2]]="PF"),Table_0[[#This Row],[IN]],"")</f>
        <v/>
      </c>
      <c r="AB114" s="1" t="str">
        <f>IF(OR(Table_0[[#This Row],[Table 0 (4).Fanduel Position]]="C",Table_0[[#This Row],[Table 0 (4).Fanduel Position.2]]="C"),Table_0[[#This Row],[IN]],"")</f>
        <v/>
      </c>
      <c r="AC114" s="1"/>
      <c r="AL114" t="str">
        <f t="shared" si="1"/>
        <v/>
      </c>
    </row>
    <row r="115" spans="1:38" x14ac:dyDescent="0.3">
      <c r="A115" s="1" t="s">
        <v>1493</v>
      </c>
      <c r="B115" s="1" t="s">
        <v>1494</v>
      </c>
      <c r="C115" s="1" t="s">
        <v>398</v>
      </c>
      <c r="D115" s="1" t="s">
        <v>21</v>
      </c>
      <c r="E115" s="1" t="s">
        <v>13</v>
      </c>
      <c r="F115" s="3" t="s">
        <v>17</v>
      </c>
      <c r="G115">
        <v>11.93</v>
      </c>
      <c r="H115" s="1" t="s">
        <v>1495</v>
      </c>
      <c r="I115" s="1" t="s">
        <v>1322</v>
      </c>
      <c r="J115">
        <v>0.68</v>
      </c>
      <c r="K115">
        <v>0</v>
      </c>
      <c r="L115">
        <v>3000</v>
      </c>
      <c r="M115">
        <v>0</v>
      </c>
      <c r="N115">
        <v>0</v>
      </c>
      <c r="O115" s="1">
        <v>3500</v>
      </c>
      <c r="P115" s="1"/>
      <c r="Q115" s="1"/>
      <c r="W115">
        <v>0</v>
      </c>
      <c r="X115" s="1" t="str">
        <f>IF(OR(Table_0[[#This Row],[Table 0 (4).Fanduel Position]]="PG",Table_0[[#This Row],[Table 0 (4).Fanduel Position.2]]="PG"),Table_0[[#This Row],[IN]],"")</f>
        <v/>
      </c>
      <c r="Y115" s="1" t="str">
        <f>IF(OR(Table_0[[#This Row],[Table 0 (4).Fanduel Position]]="SG",Table_0[[#This Row],[Table 0 (4).Fanduel Position.2]]="SG"),Table_0[[#This Row],[IN]],"")</f>
        <v/>
      </c>
      <c r="Z115" s="1" t="str">
        <f>IF(OR(Table_0[[#This Row],[Table 0 (4).Fanduel Position]]="SF",Table_0[[#This Row],[Table 0 (4).Fanduel Position.2]]="SF"),Table_0[[#This Row],[IN]],"")</f>
        <v/>
      </c>
      <c r="AA115" s="1" t="str">
        <f>IF(OR(Table_0[[#This Row],[Table 0 (4).Fanduel Position]]="PF",Table_0[[#This Row],[Table 0 (4).Fanduel Position.2]]="PF"),Table_0[[#This Row],[IN]],"")</f>
        <v/>
      </c>
      <c r="AB115" s="1" t="str">
        <f>IF(OR(Table_0[[#This Row],[Table 0 (4).Fanduel Position]]="C",Table_0[[#This Row],[Table 0 (4).Fanduel Position.2]]="C"),Table_0[[#This Row],[IN]],"")</f>
        <v/>
      </c>
      <c r="AC115" s="1"/>
      <c r="AL115" t="str">
        <f t="shared" si="1"/>
        <v/>
      </c>
    </row>
    <row r="116" spans="1:38" x14ac:dyDescent="0.3">
      <c r="A116" s="1" t="s">
        <v>977</v>
      </c>
      <c r="B116" s="1" t="s">
        <v>1496</v>
      </c>
      <c r="C116" s="1" t="s">
        <v>408</v>
      </c>
      <c r="D116" s="1" t="s">
        <v>18</v>
      </c>
      <c r="E116" s="1"/>
      <c r="F116" s="3" t="s">
        <v>223</v>
      </c>
      <c r="G116">
        <v>0</v>
      </c>
      <c r="H116" s="1" t="s">
        <v>1497</v>
      </c>
      <c r="I116" s="1" t="s">
        <v>220</v>
      </c>
      <c r="J116">
        <v>1.1499999999999999</v>
      </c>
      <c r="K116">
        <v>11</v>
      </c>
      <c r="L116">
        <v>3200</v>
      </c>
      <c r="M116">
        <v>16.350000000000001</v>
      </c>
      <c r="N116">
        <v>31.93</v>
      </c>
      <c r="O116" s="1">
        <v>3700</v>
      </c>
      <c r="P116" s="1" t="s">
        <v>18</v>
      </c>
      <c r="Q116" s="1"/>
      <c r="R116">
        <v>30</v>
      </c>
      <c r="S116">
        <v>-7</v>
      </c>
      <c r="T116">
        <v>233.5</v>
      </c>
      <c r="U116">
        <v>18.899999999999999</v>
      </c>
      <c r="V116">
        <v>5.0999999999999996</v>
      </c>
      <c r="W116">
        <v>0</v>
      </c>
      <c r="X116" s="1" t="str">
        <f>IF(OR(Table_0[[#This Row],[Table 0 (4).Fanduel Position]]="PG",Table_0[[#This Row],[Table 0 (4).Fanduel Position.2]]="PG"),Table_0[[#This Row],[IN]],"")</f>
        <v/>
      </c>
      <c r="Y116" s="1" t="str">
        <f>IF(OR(Table_0[[#This Row],[Table 0 (4).Fanduel Position]]="SG",Table_0[[#This Row],[Table 0 (4).Fanduel Position.2]]="SG"),Table_0[[#This Row],[IN]],"")</f>
        <v/>
      </c>
      <c r="Z116" s="1" t="str">
        <f>IF(OR(Table_0[[#This Row],[Table 0 (4).Fanduel Position]]="SF",Table_0[[#This Row],[Table 0 (4).Fanduel Position.2]]="SF"),Table_0[[#This Row],[IN]],"")</f>
        <v/>
      </c>
      <c r="AA116" s="1" t="str">
        <f>IF(OR(Table_0[[#This Row],[Table 0 (4).Fanduel Position]]="PF",Table_0[[#This Row],[Table 0 (4).Fanduel Position.2]]="PF"),Table_0[[#This Row],[IN]],"")</f>
        <v/>
      </c>
      <c r="AB116" s="1">
        <f>IF(OR(Table_0[[#This Row],[Table 0 (4).Fanduel Position]]="C",Table_0[[#This Row],[Table 0 (4).Fanduel Position.2]]="C"),Table_0[[#This Row],[IN]],"")</f>
        <v>0</v>
      </c>
      <c r="AC116" s="1"/>
      <c r="AL116" t="str">
        <f t="shared" si="1"/>
        <v/>
      </c>
    </row>
    <row r="117" spans="1:38" x14ac:dyDescent="0.3">
      <c r="A117" s="1" t="s">
        <v>994</v>
      </c>
      <c r="B117" s="1" t="s">
        <v>924</v>
      </c>
      <c r="C117" s="1" t="s">
        <v>398</v>
      </c>
      <c r="D117" s="1" t="s">
        <v>14</v>
      </c>
      <c r="E117" s="1"/>
      <c r="F117" s="3" t="s">
        <v>17</v>
      </c>
      <c r="G117">
        <v>30.96</v>
      </c>
      <c r="H117" s="1" t="s">
        <v>1460</v>
      </c>
      <c r="I117" s="1" t="s">
        <v>1352</v>
      </c>
      <c r="J117">
        <v>0.71</v>
      </c>
      <c r="K117">
        <v>0</v>
      </c>
      <c r="L117">
        <v>4100</v>
      </c>
      <c r="M117">
        <v>0</v>
      </c>
      <c r="N117">
        <v>0</v>
      </c>
      <c r="O117" s="1">
        <v>3600</v>
      </c>
      <c r="P117" s="1" t="s">
        <v>13</v>
      </c>
      <c r="Q117" s="1" t="s">
        <v>14</v>
      </c>
      <c r="R117">
        <v>28</v>
      </c>
      <c r="S117">
        <v>2</v>
      </c>
      <c r="T117">
        <v>235.5</v>
      </c>
      <c r="U117">
        <v>0</v>
      </c>
      <c r="V117">
        <v>0</v>
      </c>
      <c r="W117">
        <v>0</v>
      </c>
      <c r="X117" s="1" t="str">
        <f>IF(OR(Table_0[[#This Row],[Table 0 (4).Fanduel Position]]="PG",Table_0[[#This Row],[Table 0 (4).Fanduel Position.2]]="PG"),Table_0[[#This Row],[IN]],"")</f>
        <v/>
      </c>
      <c r="Y117" s="1">
        <f>IF(OR(Table_0[[#This Row],[Table 0 (4).Fanduel Position]]="SG",Table_0[[#This Row],[Table 0 (4).Fanduel Position.2]]="SG"),Table_0[[#This Row],[IN]],"")</f>
        <v>0</v>
      </c>
      <c r="Z117" s="1">
        <f>IF(OR(Table_0[[#This Row],[Table 0 (4).Fanduel Position]]="SF",Table_0[[#This Row],[Table 0 (4).Fanduel Position.2]]="SF"),Table_0[[#This Row],[IN]],"")</f>
        <v>0</v>
      </c>
      <c r="AA117" s="1" t="str">
        <f>IF(OR(Table_0[[#This Row],[Table 0 (4).Fanduel Position]]="PF",Table_0[[#This Row],[Table 0 (4).Fanduel Position.2]]="PF"),Table_0[[#This Row],[IN]],"")</f>
        <v/>
      </c>
      <c r="AB117" s="1" t="str">
        <f>IF(OR(Table_0[[#This Row],[Table 0 (4).Fanduel Position]]="C",Table_0[[#This Row],[Table 0 (4).Fanduel Position.2]]="C"),Table_0[[#This Row],[IN]],"")</f>
        <v/>
      </c>
      <c r="AC117" s="1"/>
      <c r="AL117" t="str">
        <f t="shared" si="1"/>
        <v/>
      </c>
    </row>
    <row r="118" spans="1:38" x14ac:dyDescent="0.3">
      <c r="A118" s="1" t="s">
        <v>994</v>
      </c>
      <c r="B118" s="1" t="s">
        <v>1498</v>
      </c>
      <c r="C118" s="1" t="s">
        <v>427</v>
      </c>
      <c r="D118" s="1" t="s">
        <v>13</v>
      </c>
      <c r="E118" s="1" t="s">
        <v>14</v>
      </c>
      <c r="F118" s="3" t="s">
        <v>1262</v>
      </c>
      <c r="G118">
        <v>27.85</v>
      </c>
      <c r="H118" s="1" t="s">
        <v>1462</v>
      </c>
      <c r="I118" s="1" t="s">
        <v>373</v>
      </c>
      <c r="J118">
        <v>0.74</v>
      </c>
      <c r="K118">
        <v>23</v>
      </c>
      <c r="L118">
        <v>3900</v>
      </c>
      <c r="M118">
        <v>20.68</v>
      </c>
      <c r="N118">
        <v>33.14</v>
      </c>
      <c r="O118" s="1">
        <v>4000</v>
      </c>
      <c r="P118" s="1" t="s">
        <v>13</v>
      </c>
      <c r="Q118" s="1" t="s">
        <v>14</v>
      </c>
      <c r="R118">
        <v>5</v>
      </c>
      <c r="S118">
        <v>-5.5</v>
      </c>
      <c r="T118">
        <v>222.5</v>
      </c>
      <c r="U118">
        <v>17.2</v>
      </c>
      <c r="V118">
        <v>4.3099999999999996</v>
      </c>
      <c r="W118">
        <v>0</v>
      </c>
      <c r="X118" s="1" t="str">
        <f>IF(OR(Table_0[[#This Row],[Table 0 (4).Fanduel Position]]="PG",Table_0[[#This Row],[Table 0 (4).Fanduel Position.2]]="PG"),Table_0[[#This Row],[IN]],"")</f>
        <v/>
      </c>
      <c r="Y118" s="1">
        <f>IF(OR(Table_0[[#This Row],[Table 0 (4).Fanduel Position]]="SG",Table_0[[#This Row],[Table 0 (4).Fanduel Position.2]]="SG"),Table_0[[#This Row],[IN]],"")</f>
        <v>0</v>
      </c>
      <c r="Z118" s="1">
        <f>IF(OR(Table_0[[#This Row],[Table 0 (4).Fanduel Position]]="SF",Table_0[[#This Row],[Table 0 (4).Fanduel Position.2]]="SF"),Table_0[[#This Row],[IN]],"")</f>
        <v>0</v>
      </c>
      <c r="AA118" s="1" t="str">
        <f>IF(OR(Table_0[[#This Row],[Table 0 (4).Fanduel Position]]="PF",Table_0[[#This Row],[Table 0 (4).Fanduel Position.2]]="PF"),Table_0[[#This Row],[IN]],"")</f>
        <v/>
      </c>
      <c r="AB118" s="1" t="str">
        <f>IF(OR(Table_0[[#This Row],[Table 0 (4).Fanduel Position]]="C",Table_0[[#This Row],[Table 0 (4).Fanduel Position.2]]="C"),Table_0[[#This Row],[IN]],"")</f>
        <v/>
      </c>
      <c r="AC118" s="1"/>
      <c r="AL118" t="str">
        <f t="shared" si="1"/>
        <v/>
      </c>
    </row>
    <row r="119" spans="1:38" x14ac:dyDescent="0.3">
      <c r="A119" s="1" t="s">
        <v>994</v>
      </c>
      <c r="B119" s="1" t="s">
        <v>1090</v>
      </c>
      <c r="C119" s="1" t="s">
        <v>408</v>
      </c>
      <c r="D119" s="1" t="s">
        <v>13</v>
      </c>
      <c r="E119" s="1" t="s">
        <v>14</v>
      </c>
      <c r="F119" s="3" t="s">
        <v>366</v>
      </c>
      <c r="G119">
        <v>0</v>
      </c>
      <c r="H119" s="1" t="s">
        <v>1499</v>
      </c>
      <c r="I119" s="1" t="s">
        <v>367</v>
      </c>
      <c r="J119">
        <v>0.8</v>
      </c>
      <c r="K119">
        <v>5</v>
      </c>
      <c r="L119">
        <v>3000</v>
      </c>
      <c r="M119">
        <v>5.87</v>
      </c>
      <c r="N119">
        <v>12.23</v>
      </c>
      <c r="O119" s="1">
        <v>3500</v>
      </c>
      <c r="P119" s="1" t="s">
        <v>14</v>
      </c>
      <c r="Q119" s="1"/>
      <c r="R119">
        <v>30</v>
      </c>
      <c r="S119">
        <v>-7</v>
      </c>
      <c r="T119">
        <v>233.5</v>
      </c>
      <c r="U119">
        <v>12.8</v>
      </c>
      <c r="V119">
        <v>3.65</v>
      </c>
      <c r="W119">
        <v>0</v>
      </c>
      <c r="X119" s="1" t="str">
        <f>IF(OR(Table_0[[#This Row],[Table 0 (4).Fanduel Position]]="PG",Table_0[[#This Row],[Table 0 (4).Fanduel Position.2]]="PG"),Table_0[[#This Row],[IN]],"")</f>
        <v/>
      </c>
      <c r="Y119" s="1" t="str">
        <f>IF(OR(Table_0[[#This Row],[Table 0 (4).Fanduel Position]]="SG",Table_0[[#This Row],[Table 0 (4).Fanduel Position.2]]="SG"),Table_0[[#This Row],[IN]],"")</f>
        <v/>
      </c>
      <c r="Z119" s="1">
        <f>IF(OR(Table_0[[#This Row],[Table 0 (4).Fanduel Position]]="SF",Table_0[[#This Row],[Table 0 (4).Fanduel Position.2]]="SF"),Table_0[[#This Row],[IN]],"")</f>
        <v>0</v>
      </c>
      <c r="AA119" s="1" t="str">
        <f>IF(OR(Table_0[[#This Row],[Table 0 (4).Fanduel Position]]="PF",Table_0[[#This Row],[Table 0 (4).Fanduel Position.2]]="PF"),Table_0[[#This Row],[IN]],"")</f>
        <v/>
      </c>
      <c r="AB119" s="1" t="str">
        <f>IF(OR(Table_0[[#This Row],[Table 0 (4).Fanduel Position]]="C",Table_0[[#This Row],[Table 0 (4).Fanduel Position.2]]="C"),Table_0[[#This Row],[IN]],"")</f>
        <v/>
      </c>
      <c r="AC119" s="1"/>
      <c r="AL119" t="str">
        <f t="shared" si="1"/>
        <v/>
      </c>
    </row>
    <row r="120" spans="1:38" x14ac:dyDescent="0.3">
      <c r="A120" s="1" t="s">
        <v>749</v>
      </c>
      <c r="B120" s="1" t="s">
        <v>1500</v>
      </c>
      <c r="C120" s="1" t="s">
        <v>257</v>
      </c>
      <c r="D120" s="1" t="s">
        <v>21</v>
      </c>
      <c r="E120" s="1" t="s">
        <v>13</v>
      </c>
      <c r="F120" s="3" t="s">
        <v>17</v>
      </c>
      <c r="G120">
        <v>0</v>
      </c>
      <c r="H120" s="1" t="s">
        <v>1501</v>
      </c>
      <c r="I120" s="1" t="s">
        <v>378</v>
      </c>
      <c r="J120">
        <v>0.49</v>
      </c>
      <c r="K120">
        <v>0</v>
      </c>
      <c r="L120">
        <v>3000</v>
      </c>
      <c r="M120">
        <v>0</v>
      </c>
      <c r="N120">
        <v>0</v>
      </c>
      <c r="O120" s="1">
        <v>3500</v>
      </c>
      <c r="P120" s="1"/>
      <c r="Q120" s="1"/>
      <c r="W120">
        <v>0</v>
      </c>
      <c r="X120" s="1" t="str">
        <f>IF(OR(Table_0[[#This Row],[Table 0 (4).Fanduel Position]]="PG",Table_0[[#This Row],[Table 0 (4).Fanduel Position.2]]="PG"),Table_0[[#This Row],[IN]],"")</f>
        <v/>
      </c>
      <c r="Y120" s="1" t="str">
        <f>IF(OR(Table_0[[#This Row],[Table 0 (4).Fanduel Position]]="SG",Table_0[[#This Row],[Table 0 (4).Fanduel Position.2]]="SG"),Table_0[[#This Row],[IN]],"")</f>
        <v/>
      </c>
      <c r="Z120" s="1" t="str">
        <f>IF(OR(Table_0[[#This Row],[Table 0 (4).Fanduel Position]]="SF",Table_0[[#This Row],[Table 0 (4).Fanduel Position.2]]="SF"),Table_0[[#This Row],[IN]],"")</f>
        <v/>
      </c>
      <c r="AA120" s="1" t="str">
        <f>IF(OR(Table_0[[#This Row],[Table 0 (4).Fanduel Position]]="PF",Table_0[[#This Row],[Table 0 (4).Fanduel Position.2]]="PF"),Table_0[[#This Row],[IN]],"")</f>
        <v/>
      </c>
      <c r="AB120" s="1" t="str">
        <f>IF(OR(Table_0[[#This Row],[Table 0 (4).Fanduel Position]]="C",Table_0[[#This Row],[Table 0 (4).Fanduel Position.2]]="C"),Table_0[[#This Row],[IN]],"")</f>
        <v/>
      </c>
      <c r="AC120" s="1"/>
      <c r="AL120" t="str">
        <f t="shared" si="1"/>
        <v/>
      </c>
    </row>
    <row r="121" spans="1:38" x14ac:dyDescent="0.3">
      <c r="A121" s="1" t="s">
        <v>749</v>
      </c>
      <c r="B121" s="1" t="s">
        <v>750</v>
      </c>
      <c r="C121" s="1" t="s">
        <v>381</v>
      </c>
      <c r="D121" s="1" t="s">
        <v>18</v>
      </c>
      <c r="E121" s="1"/>
      <c r="F121" s="3" t="s">
        <v>1375</v>
      </c>
      <c r="G121">
        <v>31.08</v>
      </c>
      <c r="H121" s="1" t="s">
        <v>1502</v>
      </c>
      <c r="I121" s="1" t="s">
        <v>31</v>
      </c>
      <c r="J121">
        <v>1.6</v>
      </c>
      <c r="K121">
        <v>35</v>
      </c>
      <c r="L121">
        <v>11200</v>
      </c>
      <c r="M121">
        <v>58.29</v>
      </c>
      <c r="N121">
        <v>32.53</v>
      </c>
      <c r="O121" s="1">
        <v>10900</v>
      </c>
      <c r="P121" s="1" t="s">
        <v>18</v>
      </c>
      <c r="Q121" s="1"/>
      <c r="R121">
        <v>9</v>
      </c>
      <c r="S121">
        <v>-5.5</v>
      </c>
      <c r="T121">
        <v>225</v>
      </c>
      <c r="U121">
        <v>52.8</v>
      </c>
      <c r="V121">
        <v>4.84</v>
      </c>
      <c r="W121">
        <v>0</v>
      </c>
      <c r="X121" s="1" t="str">
        <f>IF(OR(Table_0[[#This Row],[Table 0 (4).Fanduel Position]]="PG",Table_0[[#This Row],[Table 0 (4).Fanduel Position.2]]="PG"),Table_0[[#This Row],[IN]],"")</f>
        <v/>
      </c>
      <c r="Y121" s="1" t="str">
        <f>IF(OR(Table_0[[#This Row],[Table 0 (4).Fanduel Position]]="SG",Table_0[[#This Row],[Table 0 (4).Fanduel Position.2]]="SG"),Table_0[[#This Row],[IN]],"")</f>
        <v/>
      </c>
      <c r="Z121" s="1" t="str">
        <f>IF(OR(Table_0[[#This Row],[Table 0 (4).Fanduel Position]]="SF",Table_0[[#This Row],[Table 0 (4).Fanduel Position.2]]="SF"),Table_0[[#This Row],[IN]],"")</f>
        <v/>
      </c>
      <c r="AA121" s="1" t="str">
        <f>IF(OR(Table_0[[#This Row],[Table 0 (4).Fanduel Position]]="PF",Table_0[[#This Row],[Table 0 (4).Fanduel Position.2]]="PF"),Table_0[[#This Row],[IN]],"")</f>
        <v/>
      </c>
      <c r="AB121" s="1">
        <f>IF(OR(Table_0[[#This Row],[Table 0 (4).Fanduel Position]]="C",Table_0[[#This Row],[Table 0 (4).Fanduel Position.2]]="C"),Table_0[[#This Row],[IN]],"")</f>
        <v>0</v>
      </c>
      <c r="AC121" s="1"/>
      <c r="AL121" t="str">
        <f t="shared" si="1"/>
        <v/>
      </c>
    </row>
    <row r="122" spans="1:38" x14ac:dyDescent="0.3">
      <c r="A122" s="1" t="s">
        <v>283</v>
      </c>
      <c r="B122" s="1" t="s">
        <v>1503</v>
      </c>
      <c r="C122" s="1" t="s">
        <v>401</v>
      </c>
      <c r="D122" s="1" t="s">
        <v>21</v>
      </c>
      <c r="E122" s="1"/>
      <c r="F122" s="3" t="s">
        <v>17</v>
      </c>
      <c r="G122">
        <v>32.200000000000003</v>
      </c>
      <c r="H122" s="1" t="s">
        <v>1458</v>
      </c>
      <c r="I122" s="1" t="s">
        <v>1292</v>
      </c>
      <c r="J122">
        <v>1.1299999999999999</v>
      </c>
      <c r="K122">
        <v>0</v>
      </c>
      <c r="L122">
        <v>7700</v>
      </c>
      <c r="M122">
        <v>0</v>
      </c>
      <c r="N122">
        <v>0</v>
      </c>
      <c r="O122" s="1">
        <v>3500</v>
      </c>
      <c r="P122" s="1" t="s">
        <v>21</v>
      </c>
      <c r="Q122" s="1" t="s">
        <v>13</v>
      </c>
      <c r="R122">
        <v>9</v>
      </c>
      <c r="S122">
        <v>7</v>
      </c>
      <c r="T122">
        <v>233.5</v>
      </c>
      <c r="U122">
        <v>0</v>
      </c>
      <c r="V122">
        <v>0</v>
      </c>
      <c r="W122">
        <v>0</v>
      </c>
      <c r="X122" s="1">
        <f>IF(OR(Table_0[[#This Row],[Table 0 (4).Fanduel Position]]="PG",Table_0[[#This Row],[Table 0 (4).Fanduel Position.2]]="PG"),Table_0[[#This Row],[IN]],"")</f>
        <v>0</v>
      </c>
      <c r="Y122" s="1">
        <f>IF(OR(Table_0[[#This Row],[Table 0 (4).Fanduel Position]]="SG",Table_0[[#This Row],[Table 0 (4).Fanduel Position.2]]="SG"),Table_0[[#This Row],[IN]],"")</f>
        <v>0</v>
      </c>
      <c r="Z122" s="1" t="str">
        <f>IF(OR(Table_0[[#This Row],[Table 0 (4).Fanduel Position]]="SF",Table_0[[#This Row],[Table 0 (4).Fanduel Position.2]]="SF"),Table_0[[#This Row],[IN]],"")</f>
        <v/>
      </c>
      <c r="AA122" s="1" t="str">
        <f>IF(OR(Table_0[[#This Row],[Table 0 (4).Fanduel Position]]="PF",Table_0[[#This Row],[Table 0 (4).Fanduel Position.2]]="PF"),Table_0[[#This Row],[IN]],"")</f>
        <v/>
      </c>
      <c r="AB122" s="1" t="str">
        <f>IF(OR(Table_0[[#This Row],[Table 0 (4).Fanduel Position]]="C",Table_0[[#This Row],[Table 0 (4).Fanduel Position.2]]="C"),Table_0[[#This Row],[IN]],"")</f>
        <v/>
      </c>
      <c r="AC122" s="1"/>
      <c r="AL122" t="str">
        <f t="shared" si="1"/>
        <v/>
      </c>
    </row>
    <row r="123" spans="1:38" x14ac:dyDescent="0.3">
      <c r="A123" s="1" t="s">
        <v>187</v>
      </c>
      <c r="B123" s="1" t="s">
        <v>1504</v>
      </c>
      <c r="C123" s="1" t="s">
        <v>251</v>
      </c>
      <c r="D123" s="1" t="s">
        <v>16</v>
      </c>
      <c r="E123" s="1"/>
      <c r="F123" s="3" t="s">
        <v>237</v>
      </c>
      <c r="G123">
        <v>13.5</v>
      </c>
      <c r="H123" s="1" t="s">
        <v>1505</v>
      </c>
      <c r="I123" s="1" t="s">
        <v>241</v>
      </c>
      <c r="J123">
        <v>0.96</v>
      </c>
      <c r="K123">
        <v>2</v>
      </c>
      <c r="L123">
        <v>3200</v>
      </c>
      <c r="M123">
        <v>5.55</v>
      </c>
      <c r="N123">
        <v>10.84</v>
      </c>
      <c r="O123" s="1">
        <v>10000</v>
      </c>
      <c r="P123" s="1" t="s">
        <v>21</v>
      </c>
      <c r="Q123" s="1"/>
      <c r="R123">
        <v>7</v>
      </c>
      <c r="S123">
        <v>-2</v>
      </c>
      <c r="T123">
        <v>235.5</v>
      </c>
      <c r="U123">
        <v>32.299999999999997</v>
      </c>
      <c r="V123">
        <v>4.54</v>
      </c>
      <c r="W123">
        <v>0</v>
      </c>
      <c r="X123" s="1">
        <f>IF(OR(Table_0[[#This Row],[Table 0 (4).Fanduel Position]]="PG",Table_0[[#This Row],[Table 0 (4).Fanduel Position.2]]="PG"),Table_0[[#This Row],[IN]],"")</f>
        <v>0</v>
      </c>
      <c r="Y123" s="1" t="str">
        <f>IF(OR(Table_0[[#This Row],[Table 0 (4).Fanduel Position]]="SG",Table_0[[#This Row],[Table 0 (4).Fanduel Position.2]]="SG"),Table_0[[#This Row],[IN]],"")</f>
        <v/>
      </c>
      <c r="Z123" s="1" t="str">
        <f>IF(OR(Table_0[[#This Row],[Table 0 (4).Fanduel Position]]="SF",Table_0[[#This Row],[Table 0 (4).Fanduel Position.2]]="SF"),Table_0[[#This Row],[IN]],"")</f>
        <v/>
      </c>
      <c r="AA123" s="1" t="str">
        <f>IF(OR(Table_0[[#This Row],[Table 0 (4).Fanduel Position]]="PF",Table_0[[#This Row],[Table 0 (4).Fanduel Position.2]]="PF"),Table_0[[#This Row],[IN]],"")</f>
        <v/>
      </c>
      <c r="AB123" s="1" t="str">
        <f>IF(OR(Table_0[[#This Row],[Table 0 (4).Fanduel Position]]="C",Table_0[[#This Row],[Table 0 (4).Fanduel Position.2]]="C"),Table_0[[#This Row],[IN]],"")</f>
        <v/>
      </c>
      <c r="AC123" s="1"/>
      <c r="AL123" t="str">
        <f t="shared" si="1"/>
        <v/>
      </c>
    </row>
    <row r="124" spans="1:38" x14ac:dyDescent="0.3">
      <c r="A124" s="1" t="s">
        <v>187</v>
      </c>
      <c r="B124" s="1" t="s">
        <v>901</v>
      </c>
      <c r="C124" s="1" t="s">
        <v>427</v>
      </c>
      <c r="D124" s="1" t="s">
        <v>21</v>
      </c>
      <c r="E124" s="1" t="s">
        <v>13</v>
      </c>
      <c r="F124" s="3" t="s">
        <v>27</v>
      </c>
      <c r="G124">
        <v>26.72</v>
      </c>
      <c r="H124" s="1" t="s">
        <v>30</v>
      </c>
      <c r="I124" s="1" t="s">
        <v>1260</v>
      </c>
      <c r="J124">
        <v>1.02</v>
      </c>
      <c r="K124">
        <v>26</v>
      </c>
      <c r="L124">
        <v>5400</v>
      </c>
      <c r="M124">
        <v>29.57</v>
      </c>
      <c r="N124">
        <v>34.22</v>
      </c>
      <c r="O124" s="1">
        <v>5600</v>
      </c>
      <c r="P124" s="1" t="s">
        <v>21</v>
      </c>
      <c r="Q124" s="1" t="s">
        <v>13</v>
      </c>
      <c r="R124">
        <v>17</v>
      </c>
      <c r="S124">
        <v>-5.5</v>
      </c>
      <c r="T124">
        <v>222.5</v>
      </c>
      <c r="U124">
        <v>24.2</v>
      </c>
      <c r="V124">
        <v>4.32</v>
      </c>
      <c r="W124">
        <v>0</v>
      </c>
      <c r="X124" s="1">
        <f>IF(OR(Table_0[[#This Row],[Table 0 (4).Fanduel Position]]="PG",Table_0[[#This Row],[Table 0 (4).Fanduel Position.2]]="PG"),Table_0[[#This Row],[IN]],"")</f>
        <v>0</v>
      </c>
      <c r="Y124" s="1">
        <f>IF(OR(Table_0[[#This Row],[Table 0 (4).Fanduel Position]]="SG",Table_0[[#This Row],[Table 0 (4).Fanduel Position.2]]="SG"),Table_0[[#This Row],[IN]],"")</f>
        <v>0</v>
      </c>
      <c r="Z124" s="1" t="str">
        <f>IF(OR(Table_0[[#This Row],[Table 0 (4).Fanduel Position]]="SF",Table_0[[#This Row],[Table 0 (4).Fanduel Position.2]]="SF"),Table_0[[#This Row],[IN]],"")</f>
        <v/>
      </c>
      <c r="AA124" s="1" t="str">
        <f>IF(OR(Table_0[[#This Row],[Table 0 (4).Fanduel Position]]="PF",Table_0[[#This Row],[Table 0 (4).Fanduel Position.2]]="PF"),Table_0[[#This Row],[IN]],"")</f>
        <v/>
      </c>
      <c r="AB124" s="1" t="str">
        <f>IF(OR(Table_0[[#This Row],[Table 0 (4).Fanduel Position]]="C",Table_0[[#This Row],[Table 0 (4).Fanduel Position.2]]="C"),Table_0[[#This Row],[IN]],"")</f>
        <v/>
      </c>
      <c r="AC124" s="1"/>
      <c r="AL124" t="str">
        <f t="shared" si="1"/>
        <v/>
      </c>
    </row>
    <row r="125" spans="1:38" x14ac:dyDescent="0.3">
      <c r="A125" s="1" t="s">
        <v>187</v>
      </c>
      <c r="B125" s="1" t="s">
        <v>375</v>
      </c>
      <c r="C125" s="1" t="s">
        <v>257</v>
      </c>
      <c r="D125" s="1" t="s">
        <v>14</v>
      </c>
      <c r="E125" s="1"/>
      <c r="F125" s="3" t="s">
        <v>17</v>
      </c>
      <c r="G125">
        <v>0</v>
      </c>
      <c r="H125" s="1" t="s">
        <v>22</v>
      </c>
      <c r="I125" s="1" t="s">
        <v>377</v>
      </c>
      <c r="J125">
        <v>0.64</v>
      </c>
      <c r="K125">
        <v>0</v>
      </c>
      <c r="L125">
        <v>3000</v>
      </c>
      <c r="M125">
        <v>0</v>
      </c>
      <c r="N125">
        <v>0</v>
      </c>
      <c r="O125" s="1">
        <v>10000</v>
      </c>
      <c r="P125" s="1"/>
      <c r="Q125" s="1"/>
      <c r="W125">
        <v>0</v>
      </c>
      <c r="X125" s="1" t="str">
        <f>IF(OR(Table_0[[#This Row],[Table 0 (4).Fanduel Position]]="PG",Table_0[[#This Row],[Table 0 (4).Fanduel Position.2]]="PG"),Table_0[[#This Row],[IN]],"")</f>
        <v/>
      </c>
      <c r="Y125" s="1" t="str">
        <f>IF(OR(Table_0[[#This Row],[Table 0 (4).Fanduel Position]]="SG",Table_0[[#This Row],[Table 0 (4).Fanduel Position.2]]="SG"),Table_0[[#This Row],[IN]],"")</f>
        <v/>
      </c>
      <c r="Z125" s="1" t="str">
        <f>IF(OR(Table_0[[#This Row],[Table 0 (4).Fanduel Position]]="SF",Table_0[[#This Row],[Table 0 (4).Fanduel Position.2]]="SF"),Table_0[[#This Row],[IN]],"")</f>
        <v/>
      </c>
      <c r="AA125" s="1" t="str">
        <f>IF(OR(Table_0[[#This Row],[Table 0 (4).Fanduel Position]]="PF",Table_0[[#This Row],[Table 0 (4).Fanduel Position.2]]="PF"),Table_0[[#This Row],[IN]],"")</f>
        <v/>
      </c>
      <c r="AB125" s="1" t="str">
        <f>IF(OR(Table_0[[#This Row],[Table 0 (4).Fanduel Position]]="C",Table_0[[#This Row],[Table 0 (4).Fanduel Position.2]]="C"),Table_0[[#This Row],[IN]],"")</f>
        <v/>
      </c>
      <c r="AC125" s="1"/>
      <c r="AL125" t="str">
        <f t="shared" si="1"/>
        <v/>
      </c>
    </row>
    <row r="126" spans="1:38" x14ac:dyDescent="0.3">
      <c r="A126" s="1" t="s">
        <v>141</v>
      </c>
      <c r="B126" s="1" t="s">
        <v>999</v>
      </c>
      <c r="C126" s="1" t="s">
        <v>401</v>
      </c>
      <c r="D126" s="1" t="s">
        <v>13</v>
      </c>
      <c r="E126" s="1" t="s">
        <v>14</v>
      </c>
      <c r="F126" s="3" t="s">
        <v>1262</v>
      </c>
      <c r="G126">
        <v>0</v>
      </c>
      <c r="H126" s="1" t="s">
        <v>1506</v>
      </c>
      <c r="I126" s="1" t="s">
        <v>1507</v>
      </c>
      <c r="J126">
        <v>0.92</v>
      </c>
      <c r="K126">
        <v>23</v>
      </c>
      <c r="L126">
        <v>3700</v>
      </c>
      <c r="M126">
        <v>22.07</v>
      </c>
      <c r="N126">
        <v>37.28</v>
      </c>
      <c r="O126" s="1">
        <v>4000</v>
      </c>
      <c r="P126" s="1" t="s">
        <v>13</v>
      </c>
      <c r="Q126" s="1"/>
      <c r="R126">
        <v>24</v>
      </c>
      <c r="S126">
        <v>7</v>
      </c>
      <c r="T126">
        <v>233.5</v>
      </c>
      <c r="U126">
        <v>17.100000000000001</v>
      </c>
      <c r="V126">
        <v>4.2699999999999996</v>
      </c>
      <c r="W126">
        <v>0</v>
      </c>
      <c r="X126" s="1" t="str">
        <f>IF(OR(Table_0[[#This Row],[Table 0 (4).Fanduel Position]]="PG",Table_0[[#This Row],[Table 0 (4).Fanduel Position.2]]="PG"),Table_0[[#This Row],[IN]],"")</f>
        <v/>
      </c>
      <c r="Y126" s="1">
        <f>IF(OR(Table_0[[#This Row],[Table 0 (4).Fanduel Position]]="SG",Table_0[[#This Row],[Table 0 (4).Fanduel Position.2]]="SG"),Table_0[[#This Row],[IN]],"")</f>
        <v>0</v>
      </c>
      <c r="Z126" s="1" t="str">
        <f>IF(OR(Table_0[[#This Row],[Table 0 (4).Fanduel Position]]="SF",Table_0[[#This Row],[Table 0 (4).Fanduel Position.2]]="SF"),Table_0[[#This Row],[IN]],"")</f>
        <v/>
      </c>
      <c r="AA126" s="1" t="str">
        <f>IF(OR(Table_0[[#This Row],[Table 0 (4).Fanduel Position]]="PF",Table_0[[#This Row],[Table 0 (4).Fanduel Position.2]]="PF"),Table_0[[#This Row],[IN]],"")</f>
        <v/>
      </c>
      <c r="AB126" s="1" t="str">
        <f>IF(OR(Table_0[[#This Row],[Table 0 (4).Fanduel Position]]="C",Table_0[[#This Row],[Table 0 (4).Fanduel Position.2]]="C"),Table_0[[#This Row],[IN]],"")</f>
        <v/>
      </c>
      <c r="AC126" s="1"/>
      <c r="AL126" t="str">
        <f t="shared" si="1"/>
        <v/>
      </c>
    </row>
    <row r="127" spans="1:38" x14ac:dyDescent="0.3">
      <c r="A127" s="1" t="s">
        <v>141</v>
      </c>
      <c r="B127" s="1" t="s">
        <v>967</v>
      </c>
      <c r="C127" s="1" t="s">
        <v>385</v>
      </c>
      <c r="D127" s="1" t="s">
        <v>13</v>
      </c>
      <c r="E127" s="1" t="s">
        <v>14</v>
      </c>
      <c r="F127" s="3" t="s">
        <v>1251</v>
      </c>
      <c r="G127">
        <v>30.32</v>
      </c>
      <c r="H127" s="1" t="s">
        <v>1508</v>
      </c>
      <c r="I127" s="1" t="s">
        <v>1348</v>
      </c>
      <c r="J127">
        <v>0.75</v>
      </c>
      <c r="K127">
        <v>27</v>
      </c>
      <c r="L127">
        <v>4200</v>
      </c>
      <c r="M127">
        <v>24.06</v>
      </c>
      <c r="N127">
        <v>35.799999999999997</v>
      </c>
      <c r="O127" s="1">
        <v>4600</v>
      </c>
      <c r="P127" s="1" t="s">
        <v>14</v>
      </c>
      <c r="Q127" s="1" t="s">
        <v>13</v>
      </c>
      <c r="R127">
        <v>11</v>
      </c>
      <c r="S127">
        <v>-2</v>
      </c>
      <c r="T127">
        <v>211</v>
      </c>
      <c r="U127">
        <v>19.5</v>
      </c>
      <c r="V127">
        <v>4.25</v>
      </c>
      <c r="W127">
        <v>0</v>
      </c>
      <c r="X127" s="1" t="str">
        <f>IF(OR(Table_0[[#This Row],[Table 0 (4).Fanduel Position]]="PG",Table_0[[#This Row],[Table 0 (4).Fanduel Position.2]]="PG"),Table_0[[#This Row],[IN]],"")</f>
        <v/>
      </c>
      <c r="Y127" s="1">
        <f>IF(OR(Table_0[[#This Row],[Table 0 (4).Fanduel Position]]="SG",Table_0[[#This Row],[Table 0 (4).Fanduel Position.2]]="SG"),Table_0[[#This Row],[IN]],"")</f>
        <v>0</v>
      </c>
      <c r="Z127" s="1">
        <f>IF(OR(Table_0[[#This Row],[Table 0 (4).Fanduel Position]]="SF",Table_0[[#This Row],[Table 0 (4).Fanduel Position.2]]="SF"),Table_0[[#This Row],[IN]],"")</f>
        <v>0</v>
      </c>
      <c r="AA127" s="1" t="str">
        <f>IF(OR(Table_0[[#This Row],[Table 0 (4).Fanduel Position]]="PF",Table_0[[#This Row],[Table 0 (4).Fanduel Position.2]]="PF"),Table_0[[#This Row],[IN]],"")</f>
        <v/>
      </c>
      <c r="AB127" s="1" t="str">
        <f>IF(OR(Table_0[[#This Row],[Table 0 (4).Fanduel Position]]="C",Table_0[[#This Row],[Table 0 (4).Fanduel Position.2]]="C"),Table_0[[#This Row],[IN]],"")</f>
        <v/>
      </c>
      <c r="AC127" s="1"/>
      <c r="AL127" t="str">
        <f t="shared" si="1"/>
        <v/>
      </c>
    </row>
    <row r="128" spans="1:38" x14ac:dyDescent="0.3">
      <c r="A128" s="1" t="s">
        <v>1509</v>
      </c>
      <c r="B128" s="1" t="s">
        <v>1124</v>
      </c>
      <c r="C128" s="1" t="s">
        <v>408</v>
      </c>
      <c r="D128" s="1" t="s">
        <v>13</v>
      </c>
      <c r="E128" s="1" t="s">
        <v>14</v>
      </c>
      <c r="F128" s="3" t="s">
        <v>366</v>
      </c>
      <c r="G128">
        <v>0</v>
      </c>
      <c r="H128" s="1" t="s">
        <v>368</v>
      </c>
      <c r="I128" s="1" t="s">
        <v>1510</v>
      </c>
      <c r="J128">
        <v>0.82</v>
      </c>
      <c r="K128">
        <v>5</v>
      </c>
      <c r="L128">
        <v>4000</v>
      </c>
      <c r="M128">
        <v>10.119999999999999</v>
      </c>
      <c r="N128">
        <v>15.81</v>
      </c>
      <c r="O128" s="1">
        <v>3800</v>
      </c>
      <c r="P128" s="1" t="s">
        <v>13</v>
      </c>
      <c r="Q128" s="1"/>
      <c r="R128">
        <v>30</v>
      </c>
      <c r="S128">
        <v>-7</v>
      </c>
      <c r="T128">
        <v>233.5</v>
      </c>
      <c r="U128">
        <v>8.5</v>
      </c>
      <c r="V128">
        <v>2.2400000000000002</v>
      </c>
      <c r="W128">
        <v>0</v>
      </c>
      <c r="X128" s="1" t="str">
        <f>IF(OR(Table_0[[#This Row],[Table 0 (4).Fanduel Position]]="PG",Table_0[[#This Row],[Table 0 (4).Fanduel Position.2]]="PG"),Table_0[[#This Row],[IN]],"")</f>
        <v/>
      </c>
      <c r="Y128" s="1">
        <f>IF(OR(Table_0[[#This Row],[Table 0 (4).Fanduel Position]]="SG",Table_0[[#This Row],[Table 0 (4).Fanduel Position.2]]="SG"),Table_0[[#This Row],[IN]],"")</f>
        <v>0</v>
      </c>
      <c r="Z128" s="1" t="str">
        <f>IF(OR(Table_0[[#This Row],[Table 0 (4).Fanduel Position]]="SF",Table_0[[#This Row],[Table 0 (4).Fanduel Position.2]]="SF"),Table_0[[#This Row],[IN]],"")</f>
        <v/>
      </c>
      <c r="AA128" s="1" t="str">
        <f>IF(OR(Table_0[[#This Row],[Table 0 (4).Fanduel Position]]="PF",Table_0[[#This Row],[Table 0 (4).Fanduel Position.2]]="PF"),Table_0[[#This Row],[IN]],"")</f>
        <v/>
      </c>
      <c r="AB128" s="1" t="str">
        <f>IF(OR(Table_0[[#This Row],[Table 0 (4).Fanduel Position]]="C",Table_0[[#This Row],[Table 0 (4).Fanduel Position.2]]="C"),Table_0[[#This Row],[IN]],"")</f>
        <v/>
      </c>
      <c r="AC128" s="1"/>
      <c r="AL128" t="str">
        <f t="shared" si="1"/>
        <v/>
      </c>
    </row>
    <row r="129" spans="1:38" x14ac:dyDescent="0.3">
      <c r="A129" s="1" t="s">
        <v>1511</v>
      </c>
      <c r="B129" s="1" t="s">
        <v>784</v>
      </c>
      <c r="C129" s="1" t="s">
        <v>396</v>
      </c>
      <c r="D129" s="1" t="s">
        <v>16</v>
      </c>
      <c r="E129" s="1"/>
      <c r="F129" s="3" t="s">
        <v>222</v>
      </c>
      <c r="G129">
        <v>37.549999999999997</v>
      </c>
      <c r="H129" s="1" t="s">
        <v>1512</v>
      </c>
      <c r="I129" s="1" t="s">
        <v>1513</v>
      </c>
      <c r="J129">
        <v>1.2</v>
      </c>
      <c r="K129">
        <v>33</v>
      </c>
      <c r="L129">
        <v>8500</v>
      </c>
      <c r="M129">
        <v>42.76</v>
      </c>
      <c r="N129">
        <v>31.44</v>
      </c>
      <c r="O129" s="1">
        <v>8500</v>
      </c>
      <c r="P129" s="1" t="s">
        <v>16</v>
      </c>
      <c r="Q129" s="1" t="s">
        <v>18</v>
      </c>
      <c r="R129">
        <v>18</v>
      </c>
      <c r="S129">
        <v>2.5</v>
      </c>
      <c r="T129">
        <v>204.5</v>
      </c>
      <c r="U129">
        <v>40.200000000000003</v>
      </c>
      <c r="V129">
        <v>4.72</v>
      </c>
      <c r="W129">
        <v>0</v>
      </c>
      <c r="X129" s="1" t="str">
        <f>IF(OR(Table_0[[#This Row],[Table 0 (4).Fanduel Position]]="PG",Table_0[[#This Row],[Table 0 (4).Fanduel Position.2]]="PG"),Table_0[[#This Row],[IN]],"")</f>
        <v/>
      </c>
      <c r="Y129" s="1" t="str">
        <f>IF(OR(Table_0[[#This Row],[Table 0 (4).Fanduel Position]]="SG",Table_0[[#This Row],[Table 0 (4).Fanduel Position.2]]="SG"),Table_0[[#This Row],[IN]],"")</f>
        <v/>
      </c>
      <c r="Z129" s="1" t="str">
        <f>IF(OR(Table_0[[#This Row],[Table 0 (4).Fanduel Position]]="SF",Table_0[[#This Row],[Table 0 (4).Fanduel Position.2]]="SF"),Table_0[[#This Row],[IN]],"")</f>
        <v/>
      </c>
      <c r="AA129" s="1">
        <f>IF(OR(Table_0[[#This Row],[Table 0 (4).Fanduel Position]]="PF",Table_0[[#This Row],[Table 0 (4).Fanduel Position.2]]="PF"),Table_0[[#This Row],[IN]],"")</f>
        <v>0</v>
      </c>
      <c r="AB129" s="1">
        <f>IF(OR(Table_0[[#This Row],[Table 0 (4).Fanduel Position]]="C",Table_0[[#This Row],[Table 0 (4).Fanduel Position.2]]="C"),Table_0[[#This Row],[IN]],"")</f>
        <v>0</v>
      </c>
      <c r="AC129" s="1"/>
      <c r="AL129" t="str">
        <f t="shared" si="1"/>
        <v/>
      </c>
    </row>
    <row r="130" spans="1:38" x14ac:dyDescent="0.3">
      <c r="A130" s="1" t="s">
        <v>1514</v>
      </c>
      <c r="B130" s="1" t="s">
        <v>1003</v>
      </c>
      <c r="C130" s="1" t="s">
        <v>408</v>
      </c>
      <c r="D130" s="1" t="s">
        <v>14</v>
      </c>
      <c r="E130" s="1" t="s">
        <v>16</v>
      </c>
      <c r="F130" s="3" t="s">
        <v>1251</v>
      </c>
      <c r="G130">
        <v>8.1300000000000008</v>
      </c>
      <c r="H130" s="1" t="s">
        <v>1515</v>
      </c>
      <c r="I130" s="1" t="s">
        <v>1460</v>
      </c>
      <c r="J130">
        <v>0.8</v>
      </c>
      <c r="K130">
        <v>27</v>
      </c>
      <c r="L130">
        <v>3900</v>
      </c>
      <c r="M130">
        <v>23.03</v>
      </c>
      <c r="N130">
        <v>36.909999999999997</v>
      </c>
      <c r="O130" s="1">
        <v>3900</v>
      </c>
      <c r="P130" s="1" t="s">
        <v>14</v>
      </c>
      <c r="Q130" s="1"/>
      <c r="R130">
        <v>18</v>
      </c>
      <c r="S130">
        <v>-7</v>
      </c>
      <c r="T130">
        <v>233.5</v>
      </c>
      <c r="U130">
        <v>16.899999999999999</v>
      </c>
      <c r="V130">
        <v>4.34</v>
      </c>
      <c r="W130">
        <v>0</v>
      </c>
      <c r="X130" s="1" t="str">
        <f>IF(OR(Table_0[[#This Row],[Table 0 (4).Fanduel Position]]="PG",Table_0[[#This Row],[Table 0 (4).Fanduel Position.2]]="PG"),Table_0[[#This Row],[IN]],"")</f>
        <v/>
      </c>
      <c r="Y130" s="1" t="str">
        <f>IF(OR(Table_0[[#This Row],[Table 0 (4).Fanduel Position]]="SG",Table_0[[#This Row],[Table 0 (4).Fanduel Position.2]]="SG"),Table_0[[#This Row],[IN]],"")</f>
        <v/>
      </c>
      <c r="Z130" s="1">
        <f>IF(OR(Table_0[[#This Row],[Table 0 (4).Fanduel Position]]="SF",Table_0[[#This Row],[Table 0 (4).Fanduel Position.2]]="SF"),Table_0[[#This Row],[IN]],"")</f>
        <v>0</v>
      </c>
      <c r="AA130" s="1" t="str">
        <f>IF(OR(Table_0[[#This Row],[Table 0 (4).Fanduel Position]]="PF",Table_0[[#This Row],[Table 0 (4).Fanduel Position.2]]="PF"),Table_0[[#This Row],[IN]],"")</f>
        <v/>
      </c>
      <c r="AB130" s="1" t="str">
        <f>IF(OR(Table_0[[#This Row],[Table 0 (4).Fanduel Position]]="C",Table_0[[#This Row],[Table 0 (4).Fanduel Position.2]]="C"),Table_0[[#This Row],[IN]],"")</f>
        <v/>
      </c>
      <c r="AC130" s="1"/>
      <c r="AL130" t="str">
        <f t="shared" ref="AL130:AL193" si="2">IF(W129=1,B129,"")</f>
        <v/>
      </c>
    </row>
    <row r="131" spans="1:38" x14ac:dyDescent="0.3">
      <c r="A131" s="1" t="s">
        <v>242</v>
      </c>
      <c r="B131" s="1" t="s">
        <v>1516</v>
      </c>
      <c r="C131" s="1" t="s">
        <v>382</v>
      </c>
      <c r="D131" s="1" t="s">
        <v>13</v>
      </c>
      <c r="E131" s="1" t="s">
        <v>14</v>
      </c>
      <c r="F131" s="3" t="s">
        <v>17</v>
      </c>
      <c r="G131">
        <v>30.67</v>
      </c>
      <c r="H131" s="1" t="s">
        <v>19</v>
      </c>
      <c r="I131" s="1" t="s">
        <v>35</v>
      </c>
      <c r="J131">
        <v>0.99</v>
      </c>
      <c r="K131">
        <v>0</v>
      </c>
      <c r="L131">
        <v>5500</v>
      </c>
      <c r="M131">
        <v>0</v>
      </c>
      <c r="N131">
        <v>0</v>
      </c>
      <c r="O131" s="1">
        <v>5600</v>
      </c>
      <c r="P131" s="1" t="s">
        <v>14</v>
      </c>
      <c r="Q131" s="1" t="s">
        <v>13</v>
      </c>
      <c r="R131">
        <v>16</v>
      </c>
      <c r="S131">
        <v>5.5</v>
      </c>
      <c r="T131">
        <v>225</v>
      </c>
      <c r="U131">
        <v>0</v>
      </c>
      <c r="V131">
        <v>0</v>
      </c>
      <c r="W131">
        <v>0</v>
      </c>
      <c r="X131" s="1" t="str">
        <f>IF(OR(Table_0[[#This Row],[Table 0 (4).Fanduel Position]]="PG",Table_0[[#This Row],[Table 0 (4).Fanduel Position.2]]="PG"),Table_0[[#This Row],[IN]],"")</f>
        <v/>
      </c>
      <c r="Y131" s="1">
        <f>IF(OR(Table_0[[#This Row],[Table 0 (4).Fanduel Position]]="SG",Table_0[[#This Row],[Table 0 (4).Fanduel Position.2]]="SG"),Table_0[[#This Row],[IN]],"")</f>
        <v>0</v>
      </c>
      <c r="Z131" s="1">
        <f>IF(OR(Table_0[[#This Row],[Table 0 (4).Fanduel Position]]="SF",Table_0[[#This Row],[Table 0 (4).Fanduel Position.2]]="SF"),Table_0[[#This Row],[IN]],"")</f>
        <v>0</v>
      </c>
      <c r="AA131" s="1" t="str">
        <f>IF(OR(Table_0[[#This Row],[Table 0 (4).Fanduel Position]]="PF",Table_0[[#This Row],[Table 0 (4).Fanduel Position.2]]="PF"),Table_0[[#This Row],[IN]],"")</f>
        <v/>
      </c>
      <c r="AB131" s="1" t="str">
        <f>IF(OR(Table_0[[#This Row],[Table 0 (4).Fanduel Position]]="C",Table_0[[#This Row],[Table 0 (4).Fanduel Position.2]]="C"),Table_0[[#This Row],[IN]],"")</f>
        <v/>
      </c>
      <c r="AC131" s="1"/>
      <c r="AL131" t="str">
        <f t="shared" si="2"/>
        <v/>
      </c>
    </row>
    <row r="132" spans="1:38" x14ac:dyDescent="0.3">
      <c r="A132" s="1" t="s">
        <v>1517</v>
      </c>
      <c r="B132" s="1" t="s">
        <v>953</v>
      </c>
      <c r="C132" s="1" t="s">
        <v>396</v>
      </c>
      <c r="D132" s="1" t="s">
        <v>21</v>
      </c>
      <c r="E132" s="1"/>
      <c r="F132" s="3" t="s">
        <v>1251</v>
      </c>
      <c r="G132">
        <v>31.84</v>
      </c>
      <c r="H132" s="1" t="s">
        <v>1518</v>
      </c>
      <c r="I132" s="1" t="s">
        <v>1424</v>
      </c>
      <c r="J132">
        <v>0.99</v>
      </c>
      <c r="K132">
        <v>27</v>
      </c>
      <c r="L132">
        <v>6500</v>
      </c>
      <c r="M132">
        <v>33.58</v>
      </c>
      <c r="N132">
        <v>32.29</v>
      </c>
      <c r="O132" s="1">
        <v>5200</v>
      </c>
      <c r="P132" s="1" t="s">
        <v>21</v>
      </c>
      <c r="Q132" s="1"/>
      <c r="R132">
        <v>3</v>
      </c>
      <c r="S132">
        <v>2.5</v>
      </c>
      <c r="T132">
        <v>204.5</v>
      </c>
      <c r="U132">
        <v>24.5</v>
      </c>
      <c r="V132">
        <v>4.72</v>
      </c>
      <c r="W132">
        <v>0</v>
      </c>
      <c r="X132" s="1">
        <f>IF(OR(Table_0[[#This Row],[Table 0 (4).Fanduel Position]]="PG",Table_0[[#This Row],[Table 0 (4).Fanduel Position.2]]="PG"),Table_0[[#This Row],[IN]],"")</f>
        <v>0</v>
      </c>
      <c r="Y132" s="1" t="str">
        <f>IF(OR(Table_0[[#This Row],[Table 0 (4).Fanduel Position]]="SG",Table_0[[#This Row],[Table 0 (4).Fanduel Position.2]]="SG"),Table_0[[#This Row],[IN]],"")</f>
        <v/>
      </c>
      <c r="Z132" s="1" t="str">
        <f>IF(OR(Table_0[[#This Row],[Table 0 (4).Fanduel Position]]="SF",Table_0[[#This Row],[Table 0 (4).Fanduel Position.2]]="SF"),Table_0[[#This Row],[IN]],"")</f>
        <v/>
      </c>
      <c r="AA132" s="1" t="str">
        <f>IF(OR(Table_0[[#This Row],[Table 0 (4).Fanduel Position]]="PF",Table_0[[#This Row],[Table 0 (4).Fanduel Position.2]]="PF"),Table_0[[#This Row],[IN]],"")</f>
        <v/>
      </c>
      <c r="AB132" s="1" t="str">
        <f>IF(OR(Table_0[[#This Row],[Table 0 (4).Fanduel Position]]="C",Table_0[[#This Row],[Table 0 (4).Fanduel Position.2]]="C"),Table_0[[#This Row],[IN]],"")</f>
        <v/>
      </c>
      <c r="AC132" s="1"/>
      <c r="AL132" t="str">
        <f t="shared" si="2"/>
        <v/>
      </c>
    </row>
    <row r="133" spans="1:38" x14ac:dyDescent="0.3">
      <c r="A133" s="1" t="s">
        <v>1519</v>
      </c>
      <c r="B133" s="1" t="s">
        <v>271</v>
      </c>
      <c r="C133" s="1" t="s">
        <v>257</v>
      </c>
      <c r="D133" s="1" t="s">
        <v>13</v>
      </c>
      <c r="E133" s="1" t="s">
        <v>14</v>
      </c>
      <c r="F133" s="3" t="s">
        <v>1297</v>
      </c>
      <c r="G133">
        <v>28.39</v>
      </c>
      <c r="H133" s="1" t="s">
        <v>1520</v>
      </c>
      <c r="I133" s="1" t="s">
        <v>1260</v>
      </c>
      <c r="J133">
        <v>0.77</v>
      </c>
      <c r="K133">
        <v>32</v>
      </c>
      <c r="L133">
        <v>5100</v>
      </c>
      <c r="M133">
        <v>26.05</v>
      </c>
      <c r="N133">
        <v>31.92</v>
      </c>
      <c r="O133" s="1">
        <v>4800</v>
      </c>
      <c r="P133" s="1" t="s">
        <v>13</v>
      </c>
      <c r="Q133" s="1" t="s">
        <v>14</v>
      </c>
      <c r="R133">
        <v>27</v>
      </c>
      <c r="S133">
        <v>-6</v>
      </c>
      <c r="T133">
        <v>213</v>
      </c>
      <c r="U133">
        <v>24.9</v>
      </c>
      <c r="V133">
        <v>5.18</v>
      </c>
      <c r="W133">
        <v>0</v>
      </c>
      <c r="X133" s="1" t="str">
        <f>IF(OR(Table_0[[#This Row],[Table 0 (4).Fanduel Position]]="PG",Table_0[[#This Row],[Table 0 (4).Fanduel Position.2]]="PG"),Table_0[[#This Row],[IN]],"")</f>
        <v/>
      </c>
      <c r="Y133" s="1">
        <f>IF(OR(Table_0[[#This Row],[Table 0 (4).Fanduel Position]]="SG",Table_0[[#This Row],[Table 0 (4).Fanduel Position.2]]="SG"),Table_0[[#This Row],[IN]],"")</f>
        <v>0</v>
      </c>
      <c r="Z133" s="1">
        <f>IF(OR(Table_0[[#This Row],[Table 0 (4).Fanduel Position]]="SF",Table_0[[#This Row],[Table 0 (4).Fanduel Position.2]]="SF"),Table_0[[#This Row],[IN]],"")</f>
        <v>0</v>
      </c>
      <c r="AA133" s="1" t="str">
        <f>IF(OR(Table_0[[#This Row],[Table 0 (4).Fanduel Position]]="PF",Table_0[[#This Row],[Table 0 (4).Fanduel Position.2]]="PF"),Table_0[[#This Row],[IN]],"")</f>
        <v/>
      </c>
      <c r="AB133" s="1" t="str">
        <f>IF(OR(Table_0[[#This Row],[Table 0 (4).Fanduel Position]]="C",Table_0[[#This Row],[Table 0 (4).Fanduel Position.2]]="C"),Table_0[[#This Row],[IN]],"")</f>
        <v/>
      </c>
      <c r="AC133" s="1"/>
      <c r="AL133" t="str">
        <f t="shared" si="2"/>
        <v/>
      </c>
    </row>
    <row r="134" spans="1:38" x14ac:dyDescent="0.3">
      <c r="A134" s="1" t="s">
        <v>1521</v>
      </c>
      <c r="B134" s="1" t="s">
        <v>1522</v>
      </c>
      <c r="C134" s="1" t="s">
        <v>401</v>
      </c>
      <c r="D134" s="1" t="s">
        <v>16</v>
      </c>
      <c r="E134" s="1"/>
      <c r="F134" s="3" t="s">
        <v>1262</v>
      </c>
      <c r="G134">
        <v>23.71</v>
      </c>
      <c r="H134" s="1" t="s">
        <v>1382</v>
      </c>
      <c r="I134" s="1" t="s">
        <v>1419</v>
      </c>
      <c r="J134">
        <v>0.94</v>
      </c>
      <c r="K134">
        <v>23</v>
      </c>
      <c r="L134">
        <v>4000</v>
      </c>
      <c r="M134">
        <v>23.01</v>
      </c>
      <c r="N134">
        <v>35.950000000000003</v>
      </c>
      <c r="O134" s="1">
        <v>4400</v>
      </c>
      <c r="P134" s="1"/>
      <c r="Q134" s="1"/>
      <c r="W134">
        <v>0</v>
      </c>
      <c r="X134" s="1" t="str">
        <f>IF(OR(Table_0[[#This Row],[Table 0 (4).Fanduel Position]]="PG",Table_0[[#This Row],[Table 0 (4).Fanduel Position.2]]="PG"),Table_0[[#This Row],[IN]],"")</f>
        <v/>
      </c>
      <c r="Y134" s="1" t="str">
        <f>IF(OR(Table_0[[#This Row],[Table 0 (4).Fanduel Position]]="SG",Table_0[[#This Row],[Table 0 (4).Fanduel Position.2]]="SG"),Table_0[[#This Row],[IN]],"")</f>
        <v/>
      </c>
      <c r="Z134" s="1" t="str">
        <f>IF(OR(Table_0[[#This Row],[Table 0 (4).Fanduel Position]]="SF",Table_0[[#This Row],[Table 0 (4).Fanduel Position.2]]="SF"),Table_0[[#This Row],[IN]],"")</f>
        <v/>
      </c>
      <c r="AA134" s="1" t="str">
        <f>IF(OR(Table_0[[#This Row],[Table 0 (4).Fanduel Position]]="PF",Table_0[[#This Row],[Table 0 (4).Fanduel Position.2]]="PF"),Table_0[[#This Row],[IN]],"")</f>
        <v/>
      </c>
      <c r="AB134" s="1" t="str">
        <f>IF(OR(Table_0[[#This Row],[Table 0 (4).Fanduel Position]]="C",Table_0[[#This Row],[Table 0 (4).Fanduel Position.2]]="C"),Table_0[[#This Row],[IN]],"")</f>
        <v/>
      </c>
      <c r="AC134" s="1"/>
      <c r="AL134" t="str">
        <f t="shared" si="2"/>
        <v/>
      </c>
    </row>
    <row r="135" spans="1:38" x14ac:dyDescent="0.3">
      <c r="A135" s="1" t="s">
        <v>1523</v>
      </c>
      <c r="B135" s="1" t="s">
        <v>261</v>
      </c>
      <c r="C135" s="1" t="s">
        <v>398</v>
      </c>
      <c r="D135" s="1" t="s">
        <v>14</v>
      </c>
      <c r="E135" s="1" t="s">
        <v>16</v>
      </c>
      <c r="F135" s="3" t="s">
        <v>17</v>
      </c>
      <c r="G135">
        <v>0</v>
      </c>
      <c r="H135" s="1" t="s">
        <v>1524</v>
      </c>
      <c r="I135" s="1" t="s">
        <v>1525</v>
      </c>
      <c r="J135">
        <v>0.84</v>
      </c>
      <c r="K135">
        <v>0</v>
      </c>
      <c r="L135">
        <v>3600</v>
      </c>
      <c r="M135">
        <v>0</v>
      </c>
      <c r="N135">
        <v>0</v>
      </c>
      <c r="O135" s="1">
        <v>3500</v>
      </c>
      <c r="P135" s="1" t="s">
        <v>14</v>
      </c>
      <c r="Q135" s="1"/>
      <c r="R135">
        <v>28</v>
      </c>
      <c r="S135">
        <v>2</v>
      </c>
      <c r="T135">
        <v>235.5</v>
      </c>
      <c r="U135">
        <v>16.3</v>
      </c>
      <c r="V135">
        <v>4.6500000000000004</v>
      </c>
      <c r="W135">
        <v>0</v>
      </c>
      <c r="X135" s="1" t="str">
        <f>IF(OR(Table_0[[#This Row],[Table 0 (4).Fanduel Position]]="PG",Table_0[[#This Row],[Table 0 (4).Fanduel Position.2]]="PG"),Table_0[[#This Row],[IN]],"")</f>
        <v/>
      </c>
      <c r="Y135" s="1" t="str">
        <f>IF(OR(Table_0[[#This Row],[Table 0 (4).Fanduel Position]]="SG",Table_0[[#This Row],[Table 0 (4).Fanduel Position.2]]="SG"),Table_0[[#This Row],[IN]],"")</f>
        <v/>
      </c>
      <c r="Z135" s="1">
        <f>IF(OR(Table_0[[#This Row],[Table 0 (4).Fanduel Position]]="SF",Table_0[[#This Row],[Table 0 (4).Fanduel Position.2]]="SF"),Table_0[[#This Row],[IN]],"")</f>
        <v>0</v>
      </c>
      <c r="AA135" s="1" t="str">
        <f>IF(OR(Table_0[[#This Row],[Table 0 (4).Fanduel Position]]="PF",Table_0[[#This Row],[Table 0 (4).Fanduel Position.2]]="PF"),Table_0[[#This Row],[IN]],"")</f>
        <v/>
      </c>
      <c r="AB135" s="1" t="str">
        <f>IF(OR(Table_0[[#This Row],[Table 0 (4).Fanduel Position]]="C",Table_0[[#This Row],[Table 0 (4).Fanduel Position.2]]="C"),Table_0[[#This Row],[IN]],"")</f>
        <v/>
      </c>
      <c r="AC135" s="1"/>
      <c r="AL135" t="str">
        <f t="shared" si="2"/>
        <v/>
      </c>
    </row>
    <row r="136" spans="1:38" x14ac:dyDescent="0.3">
      <c r="A136" s="1" t="s">
        <v>848</v>
      </c>
      <c r="B136" s="1" t="s">
        <v>753</v>
      </c>
      <c r="C136" s="1" t="s">
        <v>398</v>
      </c>
      <c r="D136" s="1" t="s">
        <v>16</v>
      </c>
      <c r="E136" s="1"/>
      <c r="F136" s="3" t="s">
        <v>222</v>
      </c>
      <c r="G136">
        <v>33.090000000000003</v>
      </c>
      <c r="H136" s="1" t="s">
        <v>1526</v>
      </c>
      <c r="I136" s="1" t="s">
        <v>1527</v>
      </c>
      <c r="J136">
        <v>1.38</v>
      </c>
      <c r="K136">
        <v>33</v>
      </c>
      <c r="L136">
        <v>11000</v>
      </c>
      <c r="M136">
        <v>53.7</v>
      </c>
      <c r="N136">
        <v>30.51</v>
      </c>
      <c r="O136" s="1">
        <v>11000</v>
      </c>
      <c r="P136" s="1" t="s">
        <v>14</v>
      </c>
      <c r="Q136" s="1" t="s">
        <v>16</v>
      </c>
      <c r="R136">
        <v>1</v>
      </c>
      <c r="S136">
        <v>2</v>
      </c>
      <c r="T136">
        <v>235.5</v>
      </c>
      <c r="U136">
        <v>51.7</v>
      </c>
      <c r="V136">
        <v>4.7</v>
      </c>
      <c r="W136">
        <v>1</v>
      </c>
      <c r="X136" s="1" t="str">
        <f>IF(OR(Table_0[[#This Row],[Table 0 (4).Fanduel Position]]="PG",Table_0[[#This Row],[Table 0 (4).Fanduel Position.2]]="PG"),Table_0[[#This Row],[IN]],"")</f>
        <v/>
      </c>
      <c r="Y136" s="1" t="str">
        <f>IF(OR(Table_0[[#This Row],[Table 0 (4).Fanduel Position]]="SG",Table_0[[#This Row],[Table 0 (4).Fanduel Position.2]]="SG"),Table_0[[#This Row],[IN]],"")</f>
        <v/>
      </c>
      <c r="Z136" s="1">
        <f>IF(OR(Table_0[[#This Row],[Table 0 (4).Fanduel Position]]="SF",Table_0[[#This Row],[Table 0 (4).Fanduel Position.2]]="SF"),Table_0[[#This Row],[IN]],"")</f>
        <v>1</v>
      </c>
      <c r="AA136" s="1">
        <f>IF(OR(Table_0[[#This Row],[Table 0 (4).Fanduel Position]]="PF",Table_0[[#This Row],[Table 0 (4).Fanduel Position.2]]="PF"),Table_0[[#This Row],[IN]],"")</f>
        <v>1</v>
      </c>
      <c r="AB136" s="1" t="str">
        <f>IF(OR(Table_0[[#This Row],[Table 0 (4).Fanduel Position]]="C",Table_0[[#This Row],[Table 0 (4).Fanduel Position.2]]="C"),Table_0[[#This Row],[IN]],"")</f>
        <v/>
      </c>
      <c r="AC136" s="1"/>
      <c r="AL136" t="str">
        <f t="shared" si="2"/>
        <v/>
      </c>
    </row>
    <row r="137" spans="1:38" x14ac:dyDescent="0.3">
      <c r="A137" s="1" t="s">
        <v>848</v>
      </c>
      <c r="B137" s="1" t="s">
        <v>1528</v>
      </c>
      <c r="C137" s="1" t="s">
        <v>396</v>
      </c>
      <c r="D137" s="1" t="s">
        <v>14</v>
      </c>
      <c r="E137" s="1" t="s">
        <v>16</v>
      </c>
      <c r="F137" s="3" t="s">
        <v>17</v>
      </c>
      <c r="G137">
        <v>11.05</v>
      </c>
      <c r="H137" s="1" t="s">
        <v>1529</v>
      </c>
      <c r="I137" s="1" t="s">
        <v>1394</v>
      </c>
      <c r="J137">
        <v>0.91</v>
      </c>
      <c r="K137">
        <v>0</v>
      </c>
      <c r="L137">
        <v>3000</v>
      </c>
      <c r="M137">
        <v>0</v>
      </c>
      <c r="N137">
        <v>0</v>
      </c>
      <c r="O137" s="1">
        <v>3500</v>
      </c>
      <c r="P137" s="1"/>
      <c r="Q137" s="1"/>
      <c r="W137">
        <v>0</v>
      </c>
      <c r="X137" s="1" t="str">
        <f>IF(OR(Table_0[[#This Row],[Table 0 (4).Fanduel Position]]="PG",Table_0[[#This Row],[Table 0 (4).Fanduel Position.2]]="PG"),Table_0[[#This Row],[IN]],"")</f>
        <v/>
      </c>
      <c r="Y137" s="1" t="str">
        <f>IF(OR(Table_0[[#This Row],[Table 0 (4).Fanduel Position]]="SG",Table_0[[#This Row],[Table 0 (4).Fanduel Position.2]]="SG"),Table_0[[#This Row],[IN]],"")</f>
        <v/>
      </c>
      <c r="Z137" s="1" t="str">
        <f>IF(OR(Table_0[[#This Row],[Table 0 (4).Fanduel Position]]="SF",Table_0[[#This Row],[Table 0 (4).Fanduel Position.2]]="SF"),Table_0[[#This Row],[IN]],"")</f>
        <v/>
      </c>
      <c r="AA137" s="1" t="str">
        <f>IF(OR(Table_0[[#This Row],[Table 0 (4).Fanduel Position]]="PF",Table_0[[#This Row],[Table 0 (4).Fanduel Position.2]]="PF"),Table_0[[#This Row],[IN]],"")</f>
        <v/>
      </c>
      <c r="AB137" s="1" t="str">
        <f>IF(OR(Table_0[[#This Row],[Table 0 (4).Fanduel Position]]="C",Table_0[[#This Row],[Table 0 (4).Fanduel Position.2]]="C"),Table_0[[#This Row],[IN]],"")</f>
        <v/>
      </c>
      <c r="AC137" s="1"/>
      <c r="AL137" t="str">
        <f t="shared" si="2"/>
        <v>Durant</v>
      </c>
    </row>
    <row r="138" spans="1:38" x14ac:dyDescent="0.3">
      <c r="A138" s="1" t="s">
        <v>848</v>
      </c>
      <c r="B138" s="1" t="s">
        <v>849</v>
      </c>
      <c r="C138" s="1" t="s">
        <v>428</v>
      </c>
      <c r="D138" s="1" t="s">
        <v>16</v>
      </c>
      <c r="E138" s="1" t="s">
        <v>18</v>
      </c>
      <c r="F138" s="3" t="s">
        <v>221</v>
      </c>
      <c r="G138">
        <v>24.88</v>
      </c>
      <c r="H138" s="1" t="s">
        <v>1367</v>
      </c>
      <c r="I138" s="1" t="s">
        <v>1530</v>
      </c>
      <c r="J138">
        <v>1.34</v>
      </c>
      <c r="K138">
        <v>24</v>
      </c>
      <c r="L138">
        <v>6500</v>
      </c>
      <c r="M138">
        <v>34.630000000000003</v>
      </c>
      <c r="N138">
        <v>33.299999999999997</v>
      </c>
      <c r="O138" s="1">
        <v>6700</v>
      </c>
      <c r="P138" s="1" t="s">
        <v>16</v>
      </c>
      <c r="Q138" s="1" t="s">
        <v>18</v>
      </c>
      <c r="R138">
        <v>15</v>
      </c>
      <c r="S138">
        <v>5.5</v>
      </c>
      <c r="T138">
        <v>222.5</v>
      </c>
      <c r="U138">
        <v>28.8</v>
      </c>
      <c r="V138">
        <v>4.29</v>
      </c>
      <c r="W138">
        <v>0</v>
      </c>
      <c r="X138" s="1" t="str">
        <f>IF(OR(Table_0[[#This Row],[Table 0 (4).Fanduel Position]]="PG",Table_0[[#This Row],[Table 0 (4).Fanduel Position.2]]="PG"),Table_0[[#This Row],[IN]],"")</f>
        <v/>
      </c>
      <c r="Y138" s="1" t="str">
        <f>IF(OR(Table_0[[#This Row],[Table 0 (4).Fanduel Position]]="SG",Table_0[[#This Row],[Table 0 (4).Fanduel Position.2]]="SG"),Table_0[[#This Row],[IN]],"")</f>
        <v/>
      </c>
      <c r="Z138" s="1" t="str">
        <f>IF(OR(Table_0[[#This Row],[Table 0 (4).Fanduel Position]]="SF",Table_0[[#This Row],[Table 0 (4).Fanduel Position.2]]="SF"),Table_0[[#This Row],[IN]],"")</f>
        <v/>
      </c>
      <c r="AA138" s="1">
        <f>IF(OR(Table_0[[#This Row],[Table 0 (4).Fanduel Position]]="PF",Table_0[[#This Row],[Table 0 (4).Fanduel Position.2]]="PF"),Table_0[[#This Row],[IN]],"")</f>
        <v>0</v>
      </c>
      <c r="AB138" s="1">
        <f>IF(OR(Table_0[[#This Row],[Table 0 (4).Fanduel Position]]="C",Table_0[[#This Row],[Table 0 (4).Fanduel Position.2]]="C"),Table_0[[#This Row],[IN]],"")</f>
        <v>0</v>
      </c>
      <c r="AC138" s="1"/>
      <c r="AL138" t="str">
        <f t="shared" si="2"/>
        <v/>
      </c>
    </row>
    <row r="139" spans="1:38" x14ac:dyDescent="0.3">
      <c r="A139" s="1" t="s">
        <v>848</v>
      </c>
      <c r="B139" s="1" t="s">
        <v>1531</v>
      </c>
      <c r="C139" s="1" t="s">
        <v>428</v>
      </c>
      <c r="D139" s="1" t="s">
        <v>21</v>
      </c>
      <c r="E139" s="1"/>
      <c r="F139" s="3" t="s">
        <v>17</v>
      </c>
      <c r="G139">
        <v>0</v>
      </c>
      <c r="H139" s="1" t="s">
        <v>1532</v>
      </c>
      <c r="I139" s="1" t="s">
        <v>1264</v>
      </c>
      <c r="J139">
        <v>0.74</v>
      </c>
      <c r="K139">
        <v>0</v>
      </c>
      <c r="L139">
        <v>3200</v>
      </c>
      <c r="M139">
        <v>0</v>
      </c>
      <c r="N139">
        <v>0</v>
      </c>
      <c r="O139" s="1">
        <v>3500</v>
      </c>
      <c r="P139" s="1"/>
      <c r="Q139" s="1"/>
      <c r="W139">
        <v>0</v>
      </c>
      <c r="X139" s="1" t="str">
        <f>IF(OR(Table_0[[#This Row],[Table 0 (4).Fanduel Position]]="PG",Table_0[[#This Row],[Table 0 (4).Fanduel Position.2]]="PG"),Table_0[[#This Row],[IN]],"")</f>
        <v/>
      </c>
      <c r="Y139" s="1" t="str">
        <f>IF(OR(Table_0[[#This Row],[Table 0 (4).Fanduel Position]]="SG",Table_0[[#This Row],[Table 0 (4).Fanduel Position.2]]="SG"),Table_0[[#This Row],[IN]],"")</f>
        <v/>
      </c>
      <c r="Z139" s="1" t="str">
        <f>IF(OR(Table_0[[#This Row],[Table 0 (4).Fanduel Position]]="SF",Table_0[[#This Row],[Table 0 (4).Fanduel Position.2]]="SF"),Table_0[[#This Row],[IN]],"")</f>
        <v/>
      </c>
      <c r="AA139" s="1" t="str">
        <f>IF(OR(Table_0[[#This Row],[Table 0 (4).Fanduel Position]]="PF",Table_0[[#This Row],[Table 0 (4).Fanduel Position.2]]="PF"),Table_0[[#This Row],[IN]],"")</f>
        <v/>
      </c>
      <c r="AB139" s="1" t="str">
        <f>IF(OR(Table_0[[#This Row],[Table 0 (4).Fanduel Position]]="C",Table_0[[#This Row],[Table 0 (4).Fanduel Position.2]]="C"),Table_0[[#This Row],[IN]],"")</f>
        <v/>
      </c>
      <c r="AC139" s="1"/>
      <c r="AL139" t="str">
        <f t="shared" si="2"/>
        <v/>
      </c>
    </row>
    <row r="140" spans="1:38" x14ac:dyDescent="0.3">
      <c r="A140" s="1" t="s">
        <v>848</v>
      </c>
      <c r="B140" s="1" t="s">
        <v>1533</v>
      </c>
      <c r="C140" s="1" t="s">
        <v>401</v>
      </c>
      <c r="D140" s="1" t="s">
        <v>21</v>
      </c>
      <c r="E140" s="1"/>
      <c r="F140" s="3" t="s">
        <v>1325</v>
      </c>
      <c r="G140">
        <v>32.119999999999997</v>
      </c>
      <c r="H140" s="1" t="s">
        <v>1534</v>
      </c>
      <c r="I140" s="1" t="s">
        <v>373</v>
      </c>
      <c r="J140">
        <v>0.99</v>
      </c>
      <c r="K140">
        <v>31</v>
      </c>
      <c r="L140">
        <v>5800</v>
      </c>
      <c r="M140">
        <v>32.869999999999997</v>
      </c>
      <c r="N140">
        <v>35.42</v>
      </c>
      <c r="O140" s="1">
        <v>5900</v>
      </c>
      <c r="P140" s="1"/>
      <c r="Q140" s="1"/>
      <c r="W140">
        <v>0</v>
      </c>
      <c r="X140" s="1" t="str">
        <f>IF(OR(Table_0[[#This Row],[Table 0 (4).Fanduel Position]]="PG",Table_0[[#This Row],[Table 0 (4).Fanduel Position.2]]="PG"),Table_0[[#This Row],[IN]],"")</f>
        <v/>
      </c>
      <c r="Y140" s="1" t="str">
        <f>IF(OR(Table_0[[#This Row],[Table 0 (4).Fanduel Position]]="SG",Table_0[[#This Row],[Table 0 (4).Fanduel Position.2]]="SG"),Table_0[[#This Row],[IN]],"")</f>
        <v/>
      </c>
      <c r="Z140" s="1" t="str">
        <f>IF(OR(Table_0[[#This Row],[Table 0 (4).Fanduel Position]]="SF",Table_0[[#This Row],[Table 0 (4).Fanduel Position.2]]="SF"),Table_0[[#This Row],[IN]],"")</f>
        <v/>
      </c>
      <c r="AA140" s="1" t="str">
        <f>IF(OR(Table_0[[#This Row],[Table 0 (4).Fanduel Position]]="PF",Table_0[[#This Row],[Table 0 (4).Fanduel Position.2]]="PF"),Table_0[[#This Row],[IN]],"")</f>
        <v/>
      </c>
      <c r="AB140" s="1" t="str">
        <f>IF(OR(Table_0[[#This Row],[Table 0 (4).Fanduel Position]]="C",Table_0[[#This Row],[Table 0 (4).Fanduel Position.2]]="C"),Table_0[[#This Row],[IN]],"")</f>
        <v/>
      </c>
      <c r="AC140" s="1"/>
      <c r="AL140" t="str">
        <f t="shared" si="2"/>
        <v/>
      </c>
    </row>
    <row r="141" spans="1:38" x14ac:dyDescent="0.3">
      <c r="A141" s="1" t="s">
        <v>188</v>
      </c>
      <c r="B141" s="1" t="s">
        <v>258</v>
      </c>
      <c r="C141" s="1" t="s">
        <v>257</v>
      </c>
      <c r="D141" s="1" t="s">
        <v>14</v>
      </c>
      <c r="E141" s="1" t="s">
        <v>16</v>
      </c>
      <c r="F141" s="3" t="s">
        <v>222</v>
      </c>
      <c r="G141">
        <v>28.74</v>
      </c>
      <c r="H141" s="1" t="s">
        <v>1377</v>
      </c>
      <c r="I141" s="1" t="s">
        <v>1513</v>
      </c>
      <c r="J141">
        <v>1.03</v>
      </c>
      <c r="K141">
        <v>33</v>
      </c>
      <c r="L141">
        <v>8000</v>
      </c>
      <c r="M141">
        <v>38.03</v>
      </c>
      <c r="N141">
        <v>29.71</v>
      </c>
      <c r="O141" s="1">
        <v>8900</v>
      </c>
      <c r="P141" s="1" t="s">
        <v>14</v>
      </c>
      <c r="Q141" s="1" t="s">
        <v>16</v>
      </c>
      <c r="R141">
        <v>20</v>
      </c>
      <c r="S141">
        <v>-6</v>
      </c>
      <c r="T141">
        <v>213</v>
      </c>
      <c r="U141">
        <v>37.5</v>
      </c>
      <c r="V141">
        <v>4.21</v>
      </c>
      <c r="W141">
        <v>0</v>
      </c>
      <c r="X141" s="1" t="str">
        <f>IF(OR(Table_0[[#This Row],[Table 0 (4).Fanduel Position]]="PG",Table_0[[#This Row],[Table 0 (4).Fanduel Position.2]]="PG"),Table_0[[#This Row],[IN]],"")</f>
        <v/>
      </c>
      <c r="Y141" s="1" t="str">
        <f>IF(OR(Table_0[[#This Row],[Table 0 (4).Fanduel Position]]="SG",Table_0[[#This Row],[Table 0 (4).Fanduel Position.2]]="SG"),Table_0[[#This Row],[IN]],"")</f>
        <v/>
      </c>
      <c r="Z141" s="1">
        <f>IF(OR(Table_0[[#This Row],[Table 0 (4).Fanduel Position]]="SF",Table_0[[#This Row],[Table 0 (4).Fanduel Position.2]]="SF"),Table_0[[#This Row],[IN]],"")</f>
        <v>0</v>
      </c>
      <c r="AA141" s="1">
        <f>IF(OR(Table_0[[#This Row],[Table 0 (4).Fanduel Position]]="PF",Table_0[[#This Row],[Table 0 (4).Fanduel Position.2]]="PF"),Table_0[[#This Row],[IN]],"")</f>
        <v>0</v>
      </c>
      <c r="AB141" s="1" t="str">
        <f>IF(OR(Table_0[[#This Row],[Table 0 (4).Fanduel Position]]="C",Table_0[[#This Row],[Table 0 (4).Fanduel Position.2]]="C"),Table_0[[#This Row],[IN]],"")</f>
        <v/>
      </c>
      <c r="AC141" s="1"/>
      <c r="AL141" t="str">
        <f t="shared" si="2"/>
        <v/>
      </c>
    </row>
    <row r="142" spans="1:38" x14ac:dyDescent="0.3">
      <c r="A142" s="1" t="s">
        <v>1535</v>
      </c>
      <c r="B142" s="1" t="s">
        <v>1536</v>
      </c>
      <c r="C142" s="1" t="s">
        <v>398</v>
      </c>
      <c r="D142" s="1" t="s">
        <v>21</v>
      </c>
      <c r="E142" s="1" t="s">
        <v>13</v>
      </c>
      <c r="F142" s="3" t="s">
        <v>1396</v>
      </c>
      <c r="G142">
        <v>34.74</v>
      </c>
      <c r="H142" s="1" t="s">
        <v>25</v>
      </c>
      <c r="I142" s="1" t="s">
        <v>1347</v>
      </c>
      <c r="J142">
        <v>1.3</v>
      </c>
      <c r="K142">
        <v>34</v>
      </c>
      <c r="L142">
        <v>8900</v>
      </c>
      <c r="M142">
        <v>44.88</v>
      </c>
      <c r="N142">
        <v>31.52</v>
      </c>
      <c r="O142" s="1">
        <v>8200</v>
      </c>
      <c r="P142" s="1" t="s">
        <v>21</v>
      </c>
      <c r="Q142" s="1" t="s">
        <v>13</v>
      </c>
      <c r="R142">
        <v>13</v>
      </c>
      <c r="S142">
        <v>2</v>
      </c>
      <c r="T142">
        <v>235.5</v>
      </c>
      <c r="U142">
        <v>40.299999999999997</v>
      </c>
      <c r="V142">
        <v>4.92</v>
      </c>
      <c r="W142">
        <v>0</v>
      </c>
      <c r="X142" s="1">
        <f>IF(OR(Table_0[[#This Row],[Table 0 (4).Fanduel Position]]="PG",Table_0[[#This Row],[Table 0 (4).Fanduel Position.2]]="PG"),Table_0[[#This Row],[IN]],"")</f>
        <v>0</v>
      </c>
      <c r="Y142" s="1">
        <f>IF(OR(Table_0[[#This Row],[Table 0 (4).Fanduel Position]]="SG",Table_0[[#This Row],[Table 0 (4).Fanduel Position.2]]="SG"),Table_0[[#This Row],[IN]],"")</f>
        <v>0</v>
      </c>
      <c r="Z142" s="1" t="str">
        <f>IF(OR(Table_0[[#This Row],[Table 0 (4).Fanduel Position]]="SF",Table_0[[#This Row],[Table 0 (4).Fanduel Position.2]]="SF"),Table_0[[#This Row],[IN]],"")</f>
        <v/>
      </c>
      <c r="AA142" s="1" t="str">
        <f>IF(OR(Table_0[[#This Row],[Table 0 (4).Fanduel Position]]="PF",Table_0[[#This Row],[Table 0 (4).Fanduel Position.2]]="PF"),Table_0[[#This Row],[IN]],"")</f>
        <v/>
      </c>
      <c r="AB142" s="1" t="str">
        <f>IF(OR(Table_0[[#This Row],[Table 0 (4).Fanduel Position]]="C",Table_0[[#This Row],[Table 0 (4).Fanduel Position.2]]="C"),Table_0[[#This Row],[IN]],"")</f>
        <v/>
      </c>
      <c r="AC142" s="1"/>
      <c r="AL142" t="str">
        <f t="shared" si="2"/>
        <v/>
      </c>
    </row>
    <row r="143" spans="1:38" x14ac:dyDescent="0.3">
      <c r="A143" s="1" t="s">
        <v>1537</v>
      </c>
      <c r="B143" s="1" t="s">
        <v>1010</v>
      </c>
      <c r="C143" s="1" t="s">
        <v>428</v>
      </c>
      <c r="D143" s="1" t="s">
        <v>13</v>
      </c>
      <c r="E143" s="1"/>
      <c r="F143" s="3" t="s">
        <v>1426</v>
      </c>
      <c r="G143">
        <v>12.45</v>
      </c>
      <c r="H143" s="1" t="s">
        <v>1538</v>
      </c>
      <c r="I143" s="1" t="s">
        <v>1507</v>
      </c>
      <c r="J143">
        <v>0.69</v>
      </c>
      <c r="K143">
        <v>14</v>
      </c>
      <c r="L143">
        <v>3500</v>
      </c>
      <c r="M143">
        <v>16.170000000000002</v>
      </c>
      <c r="N143">
        <v>28.88</v>
      </c>
      <c r="O143" s="1">
        <v>3700</v>
      </c>
      <c r="P143" s="1" t="s">
        <v>16</v>
      </c>
      <c r="Q143" s="1"/>
      <c r="R143">
        <v>23</v>
      </c>
      <c r="S143">
        <v>5.5</v>
      </c>
      <c r="T143">
        <v>222.5</v>
      </c>
      <c r="U143">
        <v>16.2</v>
      </c>
      <c r="V143">
        <v>4.38</v>
      </c>
      <c r="W143">
        <v>0</v>
      </c>
      <c r="X143" s="1" t="str">
        <f>IF(OR(Table_0[[#This Row],[Table 0 (4).Fanduel Position]]="PG",Table_0[[#This Row],[Table 0 (4).Fanduel Position.2]]="PG"),Table_0[[#This Row],[IN]],"")</f>
        <v/>
      </c>
      <c r="Y143" s="1" t="str">
        <f>IF(OR(Table_0[[#This Row],[Table 0 (4).Fanduel Position]]="SG",Table_0[[#This Row],[Table 0 (4).Fanduel Position.2]]="SG"),Table_0[[#This Row],[IN]],"")</f>
        <v/>
      </c>
      <c r="Z143" s="1" t="str">
        <f>IF(OR(Table_0[[#This Row],[Table 0 (4).Fanduel Position]]="SF",Table_0[[#This Row],[Table 0 (4).Fanduel Position.2]]="SF"),Table_0[[#This Row],[IN]],"")</f>
        <v/>
      </c>
      <c r="AA143" s="1">
        <f>IF(OR(Table_0[[#This Row],[Table 0 (4).Fanduel Position]]="PF",Table_0[[#This Row],[Table 0 (4).Fanduel Position.2]]="PF"),Table_0[[#This Row],[IN]],"")</f>
        <v>0</v>
      </c>
      <c r="AB143" s="1" t="str">
        <f>IF(OR(Table_0[[#This Row],[Table 0 (4).Fanduel Position]]="C",Table_0[[#This Row],[Table 0 (4).Fanduel Position.2]]="C"),Table_0[[#This Row],[IN]],"")</f>
        <v/>
      </c>
      <c r="AC143" s="1"/>
      <c r="AL143" t="str">
        <f t="shared" si="2"/>
        <v/>
      </c>
    </row>
    <row r="144" spans="1:38" x14ac:dyDescent="0.3">
      <c r="A144" s="1" t="s">
        <v>1539</v>
      </c>
      <c r="B144" s="1" t="s">
        <v>1540</v>
      </c>
      <c r="C144" s="1" t="s">
        <v>398</v>
      </c>
      <c r="D144" s="1" t="s">
        <v>18</v>
      </c>
      <c r="E144" s="1"/>
      <c r="F144" s="3" t="s">
        <v>17</v>
      </c>
      <c r="G144">
        <v>25.92</v>
      </c>
      <c r="H144" s="1" t="s">
        <v>1409</v>
      </c>
      <c r="I144" s="1" t="s">
        <v>220</v>
      </c>
      <c r="J144">
        <v>1.0900000000000001</v>
      </c>
      <c r="K144">
        <v>0</v>
      </c>
      <c r="L144">
        <v>5100</v>
      </c>
      <c r="M144">
        <v>0</v>
      </c>
      <c r="N144">
        <v>0</v>
      </c>
      <c r="O144" s="1">
        <v>4300</v>
      </c>
      <c r="P144" s="1" t="s">
        <v>18</v>
      </c>
      <c r="Q144" s="1" t="s">
        <v>16</v>
      </c>
      <c r="R144">
        <v>10</v>
      </c>
      <c r="S144">
        <v>2</v>
      </c>
      <c r="T144">
        <v>235.5</v>
      </c>
      <c r="U144">
        <v>0</v>
      </c>
      <c r="V144">
        <v>0</v>
      </c>
      <c r="W144">
        <v>0</v>
      </c>
      <c r="X144" s="1" t="str">
        <f>IF(OR(Table_0[[#This Row],[Table 0 (4).Fanduel Position]]="PG",Table_0[[#This Row],[Table 0 (4).Fanduel Position.2]]="PG"),Table_0[[#This Row],[IN]],"")</f>
        <v/>
      </c>
      <c r="Y144" s="1" t="str">
        <f>IF(OR(Table_0[[#This Row],[Table 0 (4).Fanduel Position]]="SG",Table_0[[#This Row],[Table 0 (4).Fanduel Position.2]]="SG"),Table_0[[#This Row],[IN]],"")</f>
        <v/>
      </c>
      <c r="Z144" s="1" t="str">
        <f>IF(OR(Table_0[[#This Row],[Table 0 (4).Fanduel Position]]="SF",Table_0[[#This Row],[Table 0 (4).Fanduel Position.2]]="SF"),Table_0[[#This Row],[IN]],"")</f>
        <v/>
      </c>
      <c r="AA144" s="1">
        <f>IF(OR(Table_0[[#This Row],[Table 0 (4).Fanduel Position]]="PF",Table_0[[#This Row],[Table 0 (4).Fanduel Position.2]]="PF"),Table_0[[#This Row],[IN]],"")</f>
        <v>0</v>
      </c>
      <c r="AB144" s="1">
        <f>IF(OR(Table_0[[#This Row],[Table 0 (4).Fanduel Position]]="C",Table_0[[#This Row],[Table 0 (4).Fanduel Position.2]]="C"),Table_0[[#This Row],[IN]],"")</f>
        <v>0</v>
      </c>
      <c r="AC144" s="1"/>
      <c r="AL144" t="str">
        <f t="shared" si="2"/>
        <v/>
      </c>
    </row>
    <row r="145" spans="1:38" x14ac:dyDescent="0.3">
      <c r="A145" s="1" t="s">
        <v>772</v>
      </c>
      <c r="B145" s="1" t="s">
        <v>200</v>
      </c>
      <c r="C145" s="1" t="s">
        <v>382</v>
      </c>
      <c r="D145" s="1" t="s">
        <v>21</v>
      </c>
      <c r="E145" s="1" t="s">
        <v>13</v>
      </c>
      <c r="F145" s="3" t="s">
        <v>1297</v>
      </c>
      <c r="G145">
        <v>28.78</v>
      </c>
      <c r="H145" s="1" t="s">
        <v>31</v>
      </c>
      <c r="I145" s="1" t="s">
        <v>31</v>
      </c>
      <c r="J145">
        <v>1.42</v>
      </c>
      <c r="K145">
        <v>32</v>
      </c>
      <c r="L145">
        <v>8700</v>
      </c>
      <c r="M145">
        <v>44.4</v>
      </c>
      <c r="N145">
        <v>31.9</v>
      </c>
      <c r="O145" s="1">
        <v>8000</v>
      </c>
      <c r="P145" s="1" t="s">
        <v>21</v>
      </c>
      <c r="Q145" s="1"/>
      <c r="R145">
        <v>4</v>
      </c>
      <c r="S145">
        <v>5.5</v>
      </c>
      <c r="T145">
        <v>225</v>
      </c>
      <c r="U145">
        <v>42.5</v>
      </c>
      <c r="V145">
        <v>5.32</v>
      </c>
      <c r="W145">
        <v>1</v>
      </c>
      <c r="X145" s="1">
        <f>IF(OR(Table_0[[#This Row],[Table 0 (4).Fanduel Position]]="PG",Table_0[[#This Row],[Table 0 (4).Fanduel Position.2]]="PG"),Table_0[[#This Row],[IN]],"")</f>
        <v>1</v>
      </c>
      <c r="Y145" s="1" t="str">
        <f>IF(OR(Table_0[[#This Row],[Table 0 (4).Fanduel Position]]="SG",Table_0[[#This Row],[Table 0 (4).Fanduel Position.2]]="SG"),Table_0[[#This Row],[IN]],"")</f>
        <v/>
      </c>
      <c r="Z145" s="1" t="str">
        <f>IF(OR(Table_0[[#This Row],[Table 0 (4).Fanduel Position]]="SF",Table_0[[#This Row],[Table 0 (4).Fanduel Position.2]]="SF"),Table_0[[#This Row],[IN]],"")</f>
        <v/>
      </c>
      <c r="AA145" s="1" t="str">
        <f>IF(OR(Table_0[[#This Row],[Table 0 (4).Fanduel Position]]="PF",Table_0[[#This Row],[Table 0 (4).Fanduel Position.2]]="PF"),Table_0[[#This Row],[IN]],"")</f>
        <v/>
      </c>
      <c r="AB145" s="1" t="str">
        <f>IF(OR(Table_0[[#This Row],[Table 0 (4).Fanduel Position]]="C",Table_0[[#This Row],[Table 0 (4).Fanduel Position.2]]="C"),Table_0[[#This Row],[IN]],"")</f>
        <v/>
      </c>
      <c r="AC145" s="1"/>
      <c r="AL145" t="str">
        <f t="shared" si="2"/>
        <v/>
      </c>
    </row>
    <row r="146" spans="1:38" x14ac:dyDescent="0.3">
      <c r="A146" s="1" t="s">
        <v>1541</v>
      </c>
      <c r="B146" s="1" t="s">
        <v>1038</v>
      </c>
      <c r="C146" s="1" t="s">
        <v>392</v>
      </c>
      <c r="D146" s="1" t="s">
        <v>21</v>
      </c>
      <c r="E146" s="1" t="s">
        <v>13</v>
      </c>
      <c r="F146" s="3" t="s">
        <v>1438</v>
      </c>
      <c r="G146">
        <v>16.5</v>
      </c>
      <c r="H146" s="1" t="s">
        <v>34</v>
      </c>
      <c r="I146" s="1" t="s">
        <v>1510</v>
      </c>
      <c r="J146">
        <v>0.98</v>
      </c>
      <c r="K146">
        <v>18</v>
      </c>
      <c r="L146">
        <v>5100</v>
      </c>
      <c r="M146">
        <v>20.75</v>
      </c>
      <c r="N146">
        <v>25.43</v>
      </c>
      <c r="O146" s="1">
        <v>6400</v>
      </c>
      <c r="P146" s="1" t="s">
        <v>14</v>
      </c>
      <c r="Q146" s="1"/>
      <c r="R146">
        <v>1</v>
      </c>
      <c r="S146">
        <v>2</v>
      </c>
      <c r="T146">
        <v>211</v>
      </c>
      <c r="U146">
        <v>14.7</v>
      </c>
      <c r="V146">
        <v>2.29</v>
      </c>
      <c r="W146">
        <v>0</v>
      </c>
      <c r="X146" s="1" t="str">
        <f>IF(OR(Table_0[[#This Row],[Table 0 (4).Fanduel Position]]="PG",Table_0[[#This Row],[Table 0 (4).Fanduel Position.2]]="PG"),Table_0[[#This Row],[IN]],"")</f>
        <v/>
      </c>
      <c r="Y146" s="1" t="str">
        <f>IF(OR(Table_0[[#This Row],[Table 0 (4).Fanduel Position]]="SG",Table_0[[#This Row],[Table 0 (4).Fanduel Position.2]]="SG"),Table_0[[#This Row],[IN]],"")</f>
        <v/>
      </c>
      <c r="Z146" s="1">
        <f>IF(OR(Table_0[[#This Row],[Table 0 (4).Fanduel Position]]="SF",Table_0[[#This Row],[Table 0 (4).Fanduel Position.2]]="SF"),Table_0[[#This Row],[IN]],"")</f>
        <v>0</v>
      </c>
      <c r="AA146" s="1" t="str">
        <f>IF(OR(Table_0[[#This Row],[Table 0 (4).Fanduel Position]]="PF",Table_0[[#This Row],[Table 0 (4).Fanduel Position.2]]="PF"),Table_0[[#This Row],[IN]],"")</f>
        <v/>
      </c>
      <c r="AB146" s="1" t="str">
        <f>IF(OR(Table_0[[#This Row],[Table 0 (4).Fanduel Position]]="C",Table_0[[#This Row],[Table 0 (4).Fanduel Position.2]]="C"),Table_0[[#This Row],[IN]],"")</f>
        <v/>
      </c>
      <c r="AC146" s="1"/>
      <c r="AL146" t="str">
        <f t="shared" si="2"/>
        <v>Ball</v>
      </c>
    </row>
    <row r="147" spans="1:38" x14ac:dyDescent="0.3">
      <c r="A147" s="1" t="s">
        <v>1542</v>
      </c>
      <c r="B147" s="1" t="s">
        <v>876</v>
      </c>
      <c r="C147" s="1" t="s">
        <v>428</v>
      </c>
      <c r="D147" s="1" t="s">
        <v>14</v>
      </c>
      <c r="E147" s="1" t="s">
        <v>16</v>
      </c>
      <c r="F147" s="3" t="s">
        <v>1297</v>
      </c>
      <c r="G147">
        <v>25.82</v>
      </c>
      <c r="H147" s="1" t="s">
        <v>1543</v>
      </c>
      <c r="I147" s="1" t="s">
        <v>1544</v>
      </c>
      <c r="J147">
        <v>0.88</v>
      </c>
      <c r="K147">
        <v>32</v>
      </c>
      <c r="L147">
        <v>5600</v>
      </c>
      <c r="M147">
        <v>27.12</v>
      </c>
      <c r="N147">
        <v>30.27</v>
      </c>
      <c r="O147" s="1">
        <v>5400</v>
      </c>
      <c r="P147" s="1" t="s">
        <v>16</v>
      </c>
      <c r="Q147" s="1" t="s">
        <v>14</v>
      </c>
      <c r="R147">
        <v>25</v>
      </c>
      <c r="S147">
        <v>5.5</v>
      </c>
      <c r="T147">
        <v>222.5</v>
      </c>
      <c r="U147">
        <v>25.7</v>
      </c>
      <c r="V147">
        <v>4.76</v>
      </c>
      <c r="W147">
        <v>0</v>
      </c>
      <c r="X147" s="1" t="str">
        <f>IF(OR(Table_0[[#This Row],[Table 0 (4).Fanduel Position]]="PG",Table_0[[#This Row],[Table 0 (4).Fanduel Position.2]]="PG"),Table_0[[#This Row],[IN]],"")</f>
        <v/>
      </c>
      <c r="Y147" s="1" t="str">
        <f>IF(OR(Table_0[[#This Row],[Table 0 (4).Fanduel Position]]="SG",Table_0[[#This Row],[Table 0 (4).Fanduel Position.2]]="SG"),Table_0[[#This Row],[IN]],"")</f>
        <v/>
      </c>
      <c r="Z147" s="1">
        <f>IF(OR(Table_0[[#This Row],[Table 0 (4).Fanduel Position]]="SF",Table_0[[#This Row],[Table 0 (4).Fanduel Position.2]]="SF"),Table_0[[#This Row],[IN]],"")</f>
        <v>0</v>
      </c>
      <c r="AA147" s="1">
        <f>IF(OR(Table_0[[#This Row],[Table 0 (4).Fanduel Position]]="PF",Table_0[[#This Row],[Table 0 (4).Fanduel Position.2]]="PF"),Table_0[[#This Row],[IN]],"")</f>
        <v>0</v>
      </c>
      <c r="AB147" s="1" t="str">
        <f>IF(OR(Table_0[[#This Row],[Table 0 (4).Fanduel Position]]="C",Table_0[[#This Row],[Table 0 (4).Fanduel Position.2]]="C"),Table_0[[#This Row],[IN]],"")</f>
        <v/>
      </c>
      <c r="AC147" s="1"/>
      <c r="AL147" t="str">
        <f t="shared" si="2"/>
        <v/>
      </c>
    </row>
    <row r="148" spans="1:38" x14ac:dyDescent="0.3">
      <c r="A148" s="1" t="s">
        <v>1545</v>
      </c>
      <c r="B148" s="1" t="s">
        <v>1546</v>
      </c>
      <c r="C148" s="1" t="s">
        <v>408</v>
      </c>
      <c r="D148" s="1" t="s">
        <v>13</v>
      </c>
      <c r="E148" s="1" t="s">
        <v>14</v>
      </c>
      <c r="F148" s="3" t="s">
        <v>221</v>
      </c>
      <c r="G148">
        <v>25.35</v>
      </c>
      <c r="H148" s="1" t="s">
        <v>1547</v>
      </c>
      <c r="I148" s="1" t="s">
        <v>1433</v>
      </c>
      <c r="J148">
        <v>0.91</v>
      </c>
      <c r="K148">
        <v>24</v>
      </c>
      <c r="L148">
        <v>4600</v>
      </c>
      <c r="M148">
        <v>24.55</v>
      </c>
      <c r="N148">
        <v>33.36</v>
      </c>
      <c r="O148" s="1">
        <v>4800</v>
      </c>
      <c r="P148" s="1" t="s">
        <v>13</v>
      </c>
      <c r="Q148" s="1" t="s">
        <v>14</v>
      </c>
      <c r="R148">
        <v>30</v>
      </c>
      <c r="S148">
        <v>-7</v>
      </c>
      <c r="T148">
        <v>233.5</v>
      </c>
      <c r="U148">
        <v>20.3</v>
      </c>
      <c r="V148">
        <v>4.2300000000000004</v>
      </c>
      <c r="W148">
        <v>0</v>
      </c>
      <c r="X148" s="1" t="str">
        <f>IF(OR(Table_0[[#This Row],[Table 0 (4).Fanduel Position]]="PG",Table_0[[#This Row],[Table 0 (4).Fanduel Position.2]]="PG"),Table_0[[#This Row],[IN]],"")</f>
        <v/>
      </c>
      <c r="Y148" s="1">
        <f>IF(OR(Table_0[[#This Row],[Table 0 (4).Fanduel Position]]="SG",Table_0[[#This Row],[Table 0 (4).Fanduel Position.2]]="SG"),Table_0[[#This Row],[IN]],"")</f>
        <v>0</v>
      </c>
      <c r="Z148" s="1">
        <f>IF(OR(Table_0[[#This Row],[Table 0 (4).Fanduel Position]]="SF",Table_0[[#This Row],[Table 0 (4).Fanduel Position.2]]="SF"),Table_0[[#This Row],[IN]],"")</f>
        <v>0</v>
      </c>
      <c r="AA148" s="1" t="str">
        <f>IF(OR(Table_0[[#This Row],[Table 0 (4).Fanduel Position]]="PF",Table_0[[#This Row],[Table 0 (4).Fanduel Position.2]]="PF"),Table_0[[#This Row],[IN]],"")</f>
        <v/>
      </c>
      <c r="AB148" s="1" t="str">
        <f>IF(OR(Table_0[[#This Row],[Table 0 (4).Fanduel Position]]="C",Table_0[[#This Row],[Table 0 (4).Fanduel Position.2]]="C"),Table_0[[#This Row],[IN]],"")</f>
        <v/>
      </c>
      <c r="AC148" s="1"/>
      <c r="AL148" t="str">
        <f t="shared" si="2"/>
        <v/>
      </c>
    </row>
    <row r="149" spans="1:38" x14ac:dyDescent="0.3">
      <c r="A149" s="1" t="s">
        <v>1548</v>
      </c>
      <c r="B149" s="1" t="s">
        <v>1549</v>
      </c>
      <c r="C149" s="1" t="s">
        <v>392</v>
      </c>
      <c r="D149" s="1" t="s">
        <v>21</v>
      </c>
      <c r="E149" s="1"/>
      <c r="F149" s="3" t="s">
        <v>222</v>
      </c>
      <c r="G149">
        <v>34.450000000000003</v>
      </c>
      <c r="H149" s="1" t="s">
        <v>1550</v>
      </c>
      <c r="I149" s="1" t="s">
        <v>1253</v>
      </c>
      <c r="J149">
        <v>1.1200000000000001</v>
      </c>
      <c r="K149">
        <v>33</v>
      </c>
      <c r="L149">
        <v>7800</v>
      </c>
      <c r="M149">
        <v>40.53</v>
      </c>
      <c r="N149">
        <v>32.479999999999997</v>
      </c>
      <c r="O149" s="1">
        <v>7000</v>
      </c>
      <c r="P149" s="1"/>
      <c r="Q149" s="1"/>
      <c r="W149">
        <v>0</v>
      </c>
      <c r="X149" s="1" t="str">
        <f>IF(OR(Table_0[[#This Row],[Table 0 (4).Fanduel Position]]="PG",Table_0[[#This Row],[Table 0 (4).Fanduel Position.2]]="PG"),Table_0[[#This Row],[IN]],"")</f>
        <v/>
      </c>
      <c r="Y149" s="1" t="str">
        <f>IF(OR(Table_0[[#This Row],[Table 0 (4).Fanduel Position]]="SG",Table_0[[#This Row],[Table 0 (4).Fanduel Position.2]]="SG"),Table_0[[#This Row],[IN]],"")</f>
        <v/>
      </c>
      <c r="Z149" s="1" t="str">
        <f>IF(OR(Table_0[[#This Row],[Table 0 (4).Fanduel Position]]="SF",Table_0[[#This Row],[Table 0 (4).Fanduel Position.2]]="SF"),Table_0[[#This Row],[IN]],"")</f>
        <v/>
      </c>
      <c r="AA149" s="1" t="str">
        <f>IF(OR(Table_0[[#This Row],[Table 0 (4).Fanduel Position]]="PF",Table_0[[#This Row],[Table 0 (4).Fanduel Position.2]]="PF"),Table_0[[#This Row],[IN]],"")</f>
        <v/>
      </c>
      <c r="AB149" s="1" t="str">
        <f>IF(OR(Table_0[[#This Row],[Table 0 (4).Fanduel Position]]="C",Table_0[[#This Row],[Table 0 (4).Fanduel Position.2]]="C"),Table_0[[#This Row],[IN]],"")</f>
        <v/>
      </c>
      <c r="AC149" s="1"/>
      <c r="AL149" t="str">
        <f t="shared" si="2"/>
        <v/>
      </c>
    </row>
    <row r="150" spans="1:38" x14ac:dyDescent="0.3">
      <c r="A150" s="1" t="s">
        <v>1551</v>
      </c>
      <c r="B150" s="1" t="s">
        <v>1552</v>
      </c>
      <c r="C150" s="1" t="s">
        <v>388</v>
      </c>
      <c r="D150" s="1" t="s">
        <v>16</v>
      </c>
      <c r="E150" s="1"/>
      <c r="F150" s="3" t="s">
        <v>1364</v>
      </c>
      <c r="G150">
        <v>25.84</v>
      </c>
      <c r="H150" s="1" t="s">
        <v>1553</v>
      </c>
      <c r="I150" s="1" t="s">
        <v>1507</v>
      </c>
      <c r="J150">
        <v>0.92</v>
      </c>
      <c r="K150">
        <v>19</v>
      </c>
      <c r="L150">
        <v>4600</v>
      </c>
      <c r="M150">
        <v>19.8</v>
      </c>
      <c r="N150">
        <v>26.9</v>
      </c>
      <c r="O150" s="1">
        <v>4400</v>
      </c>
      <c r="P150" s="1" t="s">
        <v>16</v>
      </c>
      <c r="Q150" s="1" t="s">
        <v>18</v>
      </c>
      <c r="R150">
        <v>27</v>
      </c>
      <c r="S150">
        <v>4</v>
      </c>
      <c r="T150">
        <v>231</v>
      </c>
      <c r="U150">
        <v>21</v>
      </c>
      <c r="V150">
        <v>4.78</v>
      </c>
      <c r="W150">
        <v>0</v>
      </c>
      <c r="X150" s="1" t="str">
        <f>IF(OR(Table_0[[#This Row],[Table 0 (4).Fanduel Position]]="PG",Table_0[[#This Row],[Table 0 (4).Fanduel Position.2]]="PG"),Table_0[[#This Row],[IN]],"")</f>
        <v/>
      </c>
      <c r="Y150" s="1" t="str">
        <f>IF(OR(Table_0[[#This Row],[Table 0 (4).Fanduel Position]]="SG",Table_0[[#This Row],[Table 0 (4).Fanduel Position.2]]="SG"),Table_0[[#This Row],[IN]],"")</f>
        <v/>
      </c>
      <c r="Z150" s="1" t="str">
        <f>IF(OR(Table_0[[#This Row],[Table 0 (4).Fanduel Position]]="SF",Table_0[[#This Row],[Table 0 (4).Fanduel Position.2]]="SF"),Table_0[[#This Row],[IN]],"")</f>
        <v/>
      </c>
      <c r="AA150" s="1">
        <f>IF(OR(Table_0[[#This Row],[Table 0 (4).Fanduel Position]]="PF",Table_0[[#This Row],[Table 0 (4).Fanduel Position.2]]="PF"),Table_0[[#This Row],[IN]],"")</f>
        <v>0</v>
      </c>
      <c r="AB150" s="1">
        <f>IF(OR(Table_0[[#This Row],[Table 0 (4).Fanduel Position]]="C",Table_0[[#This Row],[Table 0 (4).Fanduel Position.2]]="C"),Table_0[[#This Row],[IN]],"")</f>
        <v>0</v>
      </c>
      <c r="AC150" s="1"/>
      <c r="AL150" t="str">
        <f t="shared" si="2"/>
        <v/>
      </c>
    </row>
    <row r="151" spans="1:38" x14ac:dyDescent="0.3">
      <c r="A151" s="1" t="s">
        <v>1554</v>
      </c>
      <c r="B151" s="1" t="s">
        <v>955</v>
      </c>
      <c r="C151" s="1" t="s">
        <v>382</v>
      </c>
      <c r="D151" s="1" t="s">
        <v>18</v>
      </c>
      <c r="E151" s="1"/>
      <c r="F151" s="3" t="s">
        <v>1381</v>
      </c>
      <c r="G151">
        <v>26.75</v>
      </c>
      <c r="H151" s="1" t="s">
        <v>1555</v>
      </c>
      <c r="I151" s="1" t="s">
        <v>1286</v>
      </c>
      <c r="J151">
        <v>0.93</v>
      </c>
      <c r="K151">
        <v>21</v>
      </c>
      <c r="L151">
        <v>4300</v>
      </c>
      <c r="M151">
        <v>24.37</v>
      </c>
      <c r="N151">
        <v>35.42</v>
      </c>
      <c r="O151" s="1">
        <v>4900</v>
      </c>
      <c r="P151" s="1" t="s">
        <v>18</v>
      </c>
      <c r="Q151" s="1"/>
      <c r="R151">
        <v>29</v>
      </c>
      <c r="S151">
        <v>5.5</v>
      </c>
      <c r="T151">
        <v>225</v>
      </c>
      <c r="U151">
        <v>20.3</v>
      </c>
      <c r="V151">
        <v>4.1500000000000004</v>
      </c>
      <c r="W151">
        <v>0</v>
      </c>
      <c r="X151" s="1" t="str">
        <f>IF(OR(Table_0[[#This Row],[Table 0 (4).Fanduel Position]]="PG",Table_0[[#This Row],[Table 0 (4).Fanduel Position.2]]="PG"),Table_0[[#This Row],[IN]],"")</f>
        <v/>
      </c>
      <c r="Y151" s="1" t="str">
        <f>IF(OR(Table_0[[#This Row],[Table 0 (4).Fanduel Position]]="SG",Table_0[[#This Row],[Table 0 (4).Fanduel Position.2]]="SG"),Table_0[[#This Row],[IN]],"")</f>
        <v/>
      </c>
      <c r="Z151" s="1" t="str">
        <f>IF(OR(Table_0[[#This Row],[Table 0 (4).Fanduel Position]]="SF",Table_0[[#This Row],[Table 0 (4).Fanduel Position.2]]="SF"),Table_0[[#This Row],[IN]],"")</f>
        <v/>
      </c>
      <c r="AA151" s="1" t="str">
        <f>IF(OR(Table_0[[#This Row],[Table 0 (4).Fanduel Position]]="PF",Table_0[[#This Row],[Table 0 (4).Fanduel Position.2]]="PF"),Table_0[[#This Row],[IN]],"")</f>
        <v/>
      </c>
      <c r="AB151" s="1">
        <f>IF(OR(Table_0[[#This Row],[Table 0 (4).Fanduel Position]]="C",Table_0[[#This Row],[Table 0 (4).Fanduel Position.2]]="C"),Table_0[[#This Row],[IN]],"")</f>
        <v>0</v>
      </c>
      <c r="AC151" s="1"/>
      <c r="AL151" t="str">
        <f t="shared" si="2"/>
        <v/>
      </c>
    </row>
    <row r="152" spans="1:38" x14ac:dyDescent="0.3">
      <c r="A152" s="1" t="s">
        <v>1556</v>
      </c>
      <c r="B152" s="1" t="s">
        <v>971</v>
      </c>
      <c r="C152" s="1" t="s">
        <v>381</v>
      </c>
      <c r="D152" s="1" t="s">
        <v>14</v>
      </c>
      <c r="E152" s="1" t="s">
        <v>16</v>
      </c>
      <c r="F152" s="3" t="s">
        <v>221</v>
      </c>
      <c r="G152">
        <v>19.95</v>
      </c>
      <c r="H152" s="1" t="s">
        <v>1433</v>
      </c>
      <c r="I152" s="1" t="s">
        <v>1291</v>
      </c>
      <c r="J152">
        <v>0.64</v>
      </c>
      <c r="K152">
        <v>24</v>
      </c>
      <c r="L152">
        <v>4100</v>
      </c>
      <c r="M152">
        <v>16.95</v>
      </c>
      <c r="N152">
        <v>25.84</v>
      </c>
      <c r="O152" s="1">
        <v>4400</v>
      </c>
      <c r="P152" s="1" t="s">
        <v>14</v>
      </c>
      <c r="Q152" s="1"/>
      <c r="R152">
        <v>26</v>
      </c>
      <c r="S152">
        <v>-5.5</v>
      </c>
      <c r="T152">
        <v>225</v>
      </c>
      <c r="U152">
        <v>19.399999999999999</v>
      </c>
      <c r="V152">
        <v>4.42</v>
      </c>
      <c r="W152">
        <v>0</v>
      </c>
      <c r="X152" s="1" t="str">
        <f>IF(OR(Table_0[[#This Row],[Table 0 (4).Fanduel Position]]="PG",Table_0[[#This Row],[Table 0 (4).Fanduel Position.2]]="PG"),Table_0[[#This Row],[IN]],"")</f>
        <v/>
      </c>
      <c r="Y152" s="1" t="str">
        <f>IF(OR(Table_0[[#This Row],[Table 0 (4).Fanduel Position]]="SG",Table_0[[#This Row],[Table 0 (4).Fanduel Position.2]]="SG"),Table_0[[#This Row],[IN]],"")</f>
        <v/>
      </c>
      <c r="Z152" s="1">
        <f>IF(OR(Table_0[[#This Row],[Table 0 (4).Fanduel Position]]="SF",Table_0[[#This Row],[Table 0 (4).Fanduel Position.2]]="SF"),Table_0[[#This Row],[IN]],"")</f>
        <v>0</v>
      </c>
      <c r="AA152" s="1" t="str">
        <f>IF(OR(Table_0[[#This Row],[Table 0 (4).Fanduel Position]]="PF",Table_0[[#This Row],[Table 0 (4).Fanduel Position.2]]="PF"),Table_0[[#This Row],[IN]],"")</f>
        <v/>
      </c>
      <c r="AB152" s="1" t="str">
        <f>IF(OR(Table_0[[#This Row],[Table 0 (4).Fanduel Position]]="C",Table_0[[#This Row],[Table 0 (4).Fanduel Position.2]]="C"),Table_0[[#This Row],[IN]],"")</f>
        <v/>
      </c>
      <c r="AC152" s="1"/>
      <c r="AL152" t="str">
        <f t="shared" si="2"/>
        <v/>
      </c>
    </row>
    <row r="153" spans="1:38" x14ac:dyDescent="0.3">
      <c r="A153" s="1" t="s">
        <v>243</v>
      </c>
      <c r="B153" s="1" t="s">
        <v>1557</v>
      </c>
      <c r="C153" s="1" t="s">
        <v>396</v>
      </c>
      <c r="D153" s="1" t="s">
        <v>21</v>
      </c>
      <c r="E153" s="1"/>
      <c r="F153" s="3" t="s">
        <v>376</v>
      </c>
      <c r="G153">
        <v>4.5</v>
      </c>
      <c r="H153" s="1" t="s">
        <v>22</v>
      </c>
      <c r="I153" s="1" t="s">
        <v>32</v>
      </c>
      <c r="J153">
        <v>0.76</v>
      </c>
      <c r="K153">
        <v>1</v>
      </c>
      <c r="L153">
        <v>3000</v>
      </c>
      <c r="M153">
        <v>3.87</v>
      </c>
      <c r="N153">
        <v>8.06</v>
      </c>
      <c r="O153" s="1">
        <v>100000</v>
      </c>
      <c r="P153" s="1"/>
      <c r="Q153" s="1"/>
      <c r="W153">
        <v>0</v>
      </c>
      <c r="X153" s="1" t="str">
        <f>IF(OR(Table_0[[#This Row],[Table 0 (4).Fanduel Position]]="PG",Table_0[[#This Row],[Table 0 (4).Fanduel Position.2]]="PG"),Table_0[[#This Row],[IN]],"")</f>
        <v/>
      </c>
      <c r="Y153" s="1" t="str">
        <f>IF(OR(Table_0[[#This Row],[Table 0 (4).Fanduel Position]]="SG",Table_0[[#This Row],[Table 0 (4).Fanduel Position.2]]="SG"),Table_0[[#This Row],[IN]],"")</f>
        <v/>
      </c>
      <c r="Z153" s="1" t="str">
        <f>IF(OR(Table_0[[#This Row],[Table 0 (4).Fanduel Position]]="SF",Table_0[[#This Row],[Table 0 (4).Fanduel Position.2]]="SF"),Table_0[[#This Row],[IN]],"")</f>
        <v/>
      </c>
      <c r="AA153" s="1" t="str">
        <f>IF(OR(Table_0[[#This Row],[Table 0 (4).Fanduel Position]]="PF",Table_0[[#This Row],[Table 0 (4).Fanduel Position.2]]="PF"),Table_0[[#This Row],[IN]],"")</f>
        <v/>
      </c>
      <c r="AB153" s="1" t="str">
        <f>IF(OR(Table_0[[#This Row],[Table 0 (4).Fanduel Position]]="C",Table_0[[#This Row],[Table 0 (4).Fanduel Position.2]]="C"),Table_0[[#This Row],[IN]],"")</f>
        <v/>
      </c>
      <c r="AC153" s="1"/>
      <c r="AL153" t="str">
        <f t="shared" si="2"/>
        <v/>
      </c>
    </row>
    <row r="154" spans="1:38" x14ac:dyDescent="0.3">
      <c r="A154" s="1" t="s">
        <v>1558</v>
      </c>
      <c r="B154" s="1" t="s">
        <v>1559</v>
      </c>
      <c r="C154" s="1" t="s">
        <v>388</v>
      </c>
      <c r="D154" s="1" t="s">
        <v>14</v>
      </c>
      <c r="E154" s="1" t="s">
        <v>16</v>
      </c>
      <c r="F154" s="3" t="s">
        <v>17</v>
      </c>
      <c r="G154">
        <v>20.84</v>
      </c>
      <c r="H154" s="1" t="s">
        <v>1560</v>
      </c>
      <c r="I154" s="1" t="s">
        <v>1279</v>
      </c>
      <c r="J154">
        <v>0.55000000000000004</v>
      </c>
      <c r="K154">
        <v>0</v>
      </c>
      <c r="L154">
        <v>3000</v>
      </c>
      <c r="M154">
        <v>0</v>
      </c>
      <c r="N154">
        <v>0</v>
      </c>
      <c r="O154" s="1">
        <v>3500</v>
      </c>
      <c r="P154" s="1"/>
      <c r="Q154" s="1"/>
      <c r="W154">
        <v>0</v>
      </c>
      <c r="X154" s="1" t="str">
        <f>IF(OR(Table_0[[#This Row],[Table 0 (4).Fanduel Position]]="PG",Table_0[[#This Row],[Table 0 (4).Fanduel Position.2]]="PG"),Table_0[[#This Row],[IN]],"")</f>
        <v/>
      </c>
      <c r="Y154" s="1" t="str">
        <f>IF(OR(Table_0[[#This Row],[Table 0 (4).Fanduel Position]]="SG",Table_0[[#This Row],[Table 0 (4).Fanduel Position.2]]="SG"),Table_0[[#This Row],[IN]],"")</f>
        <v/>
      </c>
      <c r="Z154" s="1" t="str">
        <f>IF(OR(Table_0[[#This Row],[Table 0 (4).Fanduel Position]]="SF",Table_0[[#This Row],[Table 0 (4).Fanduel Position.2]]="SF"),Table_0[[#This Row],[IN]],"")</f>
        <v/>
      </c>
      <c r="AA154" s="1" t="str">
        <f>IF(OR(Table_0[[#This Row],[Table 0 (4).Fanduel Position]]="PF",Table_0[[#This Row],[Table 0 (4).Fanduel Position.2]]="PF"),Table_0[[#This Row],[IN]],"")</f>
        <v/>
      </c>
      <c r="AB154" s="1" t="str">
        <f>IF(OR(Table_0[[#This Row],[Table 0 (4).Fanduel Position]]="C",Table_0[[#This Row],[Table 0 (4).Fanduel Position.2]]="C"),Table_0[[#This Row],[IN]],"")</f>
        <v/>
      </c>
      <c r="AC154" s="1"/>
      <c r="AL154" t="str">
        <f t="shared" si="2"/>
        <v/>
      </c>
    </row>
    <row r="155" spans="1:38" x14ac:dyDescent="0.3">
      <c r="A155" s="1" t="s">
        <v>205</v>
      </c>
      <c r="B155" s="1" t="s">
        <v>838</v>
      </c>
      <c r="C155" s="1" t="s">
        <v>427</v>
      </c>
      <c r="D155" s="1" t="s">
        <v>21</v>
      </c>
      <c r="E155" s="1"/>
      <c r="F155" s="3" t="s">
        <v>1331</v>
      </c>
      <c r="G155">
        <v>29.35</v>
      </c>
      <c r="H155" s="1" t="s">
        <v>1260</v>
      </c>
      <c r="I155" s="1" t="s">
        <v>1510</v>
      </c>
      <c r="J155">
        <v>1.05</v>
      </c>
      <c r="K155">
        <v>29</v>
      </c>
      <c r="L155">
        <v>6100</v>
      </c>
      <c r="M155">
        <v>33.72</v>
      </c>
      <c r="N155">
        <v>34.549999999999997</v>
      </c>
      <c r="O155" s="1">
        <v>6500</v>
      </c>
      <c r="P155" s="1" t="s">
        <v>21</v>
      </c>
      <c r="Q155" s="1"/>
      <c r="R155">
        <v>17</v>
      </c>
      <c r="S155">
        <v>-5.5</v>
      </c>
      <c r="T155">
        <v>222.5</v>
      </c>
      <c r="U155">
        <v>30.6</v>
      </c>
      <c r="V155">
        <v>4.7</v>
      </c>
      <c r="W155">
        <v>0</v>
      </c>
      <c r="X155" s="1">
        <f>IF(OR(Table_0[[#This Row],[Table 0 (4).Fanduel Position]]="PG",Table_0[[#This Row],[Table 0 (4).Fanduel Position.2]]="PG"),Table_0[[#This Row],[IN]],"")</f>
        <v>0</v>
      </c>
      <c r="Y155" s="1" t="str">
        <f>IF(OR(Table_0[[#This Row],[Table 0 (4).Fanduel Position]]="SG",Table_0[[#This Row],[Table 0 (4).Fanduel Position.2]]="SG"),Table_0[[#This Row],[IN]],"")</f>
        <v/>
      </c>
      <c r="Z155" s="1" t="str">
        <f>IF(OR(Table_0[[#This Row],[Table 0 (4).Fanduel Position]]="SF",Table_0[[#This Row],[Table 0 (4).Fanduel Position.2]]="SF"),Table_0[[#This Row],[IN]],"")</f>
        <v/>
      </c>
      <c r="AA155" s="1" t="str">
        <f>IF(OR(Table_0[[#This Row],[Table 0 (4).Fanduel Position]]="PF",Table_0[[#This Row],[Table 0 (4).Fanduel Position.2]]="PF"),Table_0[[#This Row],[IN]],"")</f>
        <v/>
      </c>
      <c r="AB155" s="1" t="str">
        <f>IF(OR(Table_0[[#This Row],[Table 0 (4).Fanduel Position]]="C",Table_0[[#This Row],[Table 0 (4).Fanduel Position.2]]="C"),Table_0[[#This Row],[IN]],"")</f>
        <v/>
      </c>
      <c r="AC155" s="1"/>
      <c r="AL155" t="str">
        <f t="shared" si="2"/>
        <v/>
      </c>
    </row>
    <row r="156" spans="1:38" x14ac:dyDescent="0.3">
      <c r="A156" s="1" t="s">
        <v>1320</v>
      </c>
      <c r="B156" s="1" t="s">
        <v>225</v>
      </c>
      <c r="C156" s="1" t="s">
        <v>382</v>
      </c>
      <c r="D156" s="1" t="s">
        <v>14</v>
      </c>
      <c r="E156" s="1" t="s">
        <v>16</v>
      </c>
      <c r="F156" s="3" t="s">
        <v>1396</v>
      </c>
      <c r="G156">
        <v>29.26</v>
      </c>
      <c r="H156" s="1" t="s">
        <v>1561</v>
      </c>
      <c r="I156" s="1" t="s">
        <v>25</v>
      </c>
      <c r="J156">
        <v>1.08</v>
      </c>
      <c r="K156">
        <v>34</v>
      </c>
      <c r="L156">
        <v>7500</v>
      </c>
      <c r="M156">
        <v>38.83</v>
      </c>
      <c r="N156">
        <v>32.36</v>
      </c>
      <c r="O156" s="1">
        <v>7900</v>
      </c>
      <c r="P156" s="1" t="s">
        <v>14</v>
      </c>
      <c r="Q156" s="1"/>
      <c r="R156">
        <v>10</v>
      </c>
      <c r="S156">
        <v>5.5</v>
      </c>
      <c r="T156">
        <v>225</v>
      </c>
      <c r="U156">
        <v>37.1</v>
      </c>
      <c r="V156">
        <v>4.6900000000000004</v>
      </c>
      <c r="W156">
        <v>0</v>
      </c>
      <c r="X156" s="1" t="str">
        <f>IF(OR(Table_0[[#This Row],[Table 0 (4).Fanduel Position]]="PG",Table_0[[#This Row],[Table 0 (4).Fanduel Position.2]]="PG"),Table_0[[#This Row],[IN]],"")</f>
        <v/>
      </c>
      <c r="Y156" s="1" t="str">
        <f>IF(OR(Table_0[[#This Row],[Table 0 (4).Fanduel Position]]="SG",Table_0[[#This Row],[Table 0 (4).Fanduel Position.2]]="SG"),Table_0[[#This Row],[IN]],"")</f>
        <v/>
      </c>
      <c r="Z156" s="1">
        <f>IF(OR(Table_0[[#This Row],[Table 0 (4).Fanduel Position]]="SF",Table_0[[#This Row],[Table 0 (4).Fanduel Position.2]]="SF"),Table_0[[#This Row],[IN]],"")</f>
        <v>0</v>
      </c>
      <c r="AA156" s="1" t="str">
        <f>IF(OR(Table_0[[#This Row],[Table 0 (4).Fanduel Position]]="PF",Table_0[[#This Row],[Table 0 (4).Fanduel Position.2]]="PF"),Table_0[[#This Row],[IN]],"")</f>
        <v/>
      </c>
      <c r="AB156" s="1" t="str">
        <f>IF(OR(Table_0[[#This Row],[Table 0 (4).Fanduel Position]]="C",Table_0[[#This Row],[Table 0 (4).Fanduel Position.2]]="C"),Table_0[[#This Row],[IN]],"")</f>
        <v/>
      </c>
      <c r="AC156" s="1"/>
      <c r="AL156" t="str">
        <f t="shared" si="2"/>
        <v/>
      </c>
    </row>
    <row r="157" spans="1:38" x14ac:dyDescent="0.3">
      <c r="A157" s="1" t="s">
        <v>1320</v>
      </c>
      <c r="B157" s="1" t="s">
        <v>1562</v>
      </c>
      <c r="C157" s="1" t="s">
        <v>396</v>
      </c>
      <c r="D157" s="1" t="s">
        <v>21</v>
      </c>
      <c r="E157" s="1"/>
      <c r="F157" s="3" t="s">
        <v>17</v>
      </c>
      <c r="G157">
        <v>0</v>
      </c>
      <c r="H157" s="1" t="s">
        <v>1563</v>
      </c>
      <c r="I157" s="1" t="s">
        <v>244</v>
      </c>
      <c r="J157">
        <v>0.75</v>
      </c>
      <c r="K157">
        <v>0</v>
      </c>
      <c r="L157">
        <v>3000</v>
      </c>
      <c r="M157">
        <v>0</v>
      </c>
      <c r="N157">
        <v>0</v>
      </c>
      <c r="O157" s="1">
        <v>3500</v>
      </c>
      <c r="P157" s="1"/>
      <c r="Q157" s="1"/>
      <c r="W157">
        <v>0</v>
      </c>
      <c r="X157" s="1" t="str">
        <f>IF(OR(Table_0[[#This Row],[Table 0 (4).Fanduel Position]]="PG",Table_0[[#This Row],[Table 0 (4).Fanduel Position.2]]="PG"),Table_0[[#This Row],[IN]],"")</f>
        <v/>
      </c>
      <c r="Y157" s="1" t="str">
        <f>IF(OR(Table_0[[#This Row],[Table 0 (4).Fanduel Position]]="SG",Table_0[[#This Row],[Table 0 (4).Fanduel Position.2]]="SG"),Table_0[[#This Row],[IN]],"")</f>
        <v/>
      </c>
      <c r="Z157" s="1" t="str">
        <f>IF(OR(Table_0[[#This Row],[Table 0 (4).Fanduel Position]]="SF",Table_0[[#This Row],[Table 0 (4).Fanduel Position.2]]="SF"),Table_0[[#This Row],[IN]],"")</f>
        <v/>
      </c>
      <c r="AA157" s="1" t="str">
        <f>IF(OR(Table_0[[#This Row],[Table 0 (4).Fanduel Position]]="PF",Table_0[[#This Row],[Table 0 (4).Fanduel Position.2]]="PF"),Table_0[[#This Row],[IN]],"")</f>
        <v/>
      </c>
      <c r="AB157" s="1" t="str">
        <f>IF(OR(Table_0[[#This Row],[Table 0 (4).Fanduel Position]]="C",Table_0[[#This Row],[Table 0 (4).Fanduel Position.2]]="C"),Table_0[[#This Row],[IN]],"")</f>
        <v/>
      </c>
      <c r="AC157" s="1"/>
      <c r="AL157" t="str">
        <f t="shared" si="2"/>
        <v/>
      </c>
    </row>
    <row r="158" spans="1:38" x14ac:dyDescent="0.3">
      <c r="A158" s="1" t="s">
        <v>767</v>
      </c>
      <c r="B158" s="1" t="s">
        <v>229</v>
      </c>
      <c r="C158" s="1" t="s">
        <v>396</v>
      </c>
      <c r="D158" s="1" t="s">
        <v>18</v>
      </c>
      <c r="E158" s="1"/>
      <c r="F158" s="3" t="s">
        <v>1564</v>
      </c>
      <c r="G158">
        <v>27.48</v>
      </c>
      <c r="H158" s="1" t="s">
        <v>1565</v>
      </c>
      <c r="I158" s="1" t="s">
        <v>1463</v>
      </c>
      <c r="J158">
        <v>0.92</v>
      </c>
      <c r="K158">
        <v>25</v>
      </c>
      <c r="L158">
        <v>4900</v>
      </c>
      <c r="M158">
        <v>27.12</v>
      </c>
      <c r="N158">
        <v>34.590000000000003</v>
      </c>
      <c r="O158" s="1">
        <v>4800</v>
      </c>
      <c r="P158" s="1" t="s">
        <v>18</v>
      </c>
      <c r="Q158" s="1"/>
      <c r="R158">
        <v>12</v>
      </c>
      <c r="S158">
        <v>2.5</v>
      </c>
      <c r="T158">
        <v>204.5</v>
      </c>
      <c r="U158">
        <v>25.1</v>
      </c>
      <c r="V158">
        <v>5.23</v>
      </c>
      <c r="W158">
        <v>0</v>
      </c>
      <c r="X158" s="1" t="str">
        <f>IF(OR(Table_0[[#This Row],[Table 0 (4).Fanduel Position]]="PG",Table_0[[#This Row],[Table 0 (4).Fanduel Position.2]]="PG"),Table_0[[#This Row],[IN]],"")</f>
        <v/>
      </c>
      <c r="Y158" s="1" t="str">
        <f>IF(OR(Table_0[[#This Row],[Table 0 (4).Fanduel Position]]="SG",Table_0[[#This Row],[Table 0 (4).Fanduel Position.2]]="SG"),Table_0[[#This Row],[IN]],"")</f>
        <v/>
      </c>
      <c r="Z158" s="1" t="str">
        <f>IF(OR(Table_0[[#This Row],[Table 0 (4).Fanduel Position]]="SF",Table_0[[#This Row],[Table 0 (4).Fanduel Position.2]]="SF"),Table_0[[#This Row],[IN]],"")</f>
        <v/>
      </c>
      <c r="AA158" s="1" t="str">
        <f>IF(OR(Table_0[[#This Row],[Table 0 (4).Fanduel Position]]="PF",Table_0[[#This Row],[Table 0 (4).Fanduel Position.2]]="PF"),Table_0[[#This Row],[IN]],"")</f>
        <v/>
      </c>
      <c r="AB158" s="1">
        <f>IF(OR(Table_0[[#This Row],[Table 0 (4).Fanduel Position]]="C",Table_0[[#This Row],[Table 0 (4).Fanduel Position.2]]="C"),Table_0[[#This Row],[IN]],"")</f>
        <v>0</v>
      </c>
      <c r="AC158" s="1"/>
      <c r="AL158" t="str">
        <f t="shared" si="2"/>
        <v/>
      </c>
    </row>
    <row r="159" spans="1:38" x14ac:dyDescent="0.3">
      <c r="A159" s="1" t="s">
        <v>1566</v>
      </c>
      <c r="B159" s="1" t="s">
        <v>268</v>
      </c>
      <c r="C159" s="1" t="s">
        <v>257</v>
      </c>
      <c r="D159" s="1" t="s">
        <v>18</v>
      </c>
      <c r="E159" s="1"/>
      <c r="F159" s="3" t="s">
        <v>1342</v>
      </c>
      <c r="G159">
        <v>22.9</v>
      </c>
      <c r="H159" s="1" t="s">
        <v>1567</v>
      </c>
      <c r="I159" s="1" t="s">
        <v>1355</v>
      </c>
      <c r="J159">
        <v>1.19</v>
      </c>
      <c r="K159">
        <v>22</v>
      </c>
      <c r="L159">
        <v>4700</v>
      </c>
      <c r="M159">
        <v>25.84</v>
      </c>
      <c r="N159">
        <v>34.36</v>
      </c>
      <c r="O159" s="1">
        <v>4900</v>
      </c>
      <c r="P159" s="1" t="s">
        <v>18</v>
      </c>
      <c r="Q159" s="1" t="s">
        <v>16</v>
      </c>
      <c r="R159">
        <v>19</v>
      </c>
      <c r="S159">
        <v>-6</v>
      </c>
      <c r="T159">
        <v>213</v>
      </c>
      <c r="U159">
        <v>23.4</v>
      </c>
      <c r="V159">
        <v>4.7699999999999996</v>
      </c>
      <c r="W159">
        <v>0</v>
      </c>
      <c r="X159" s="1" t="str">
        <f>IF(OR(Table_0[[#This Row],[Table 0 (4).Fanduel Position]]="PG",Table_0[[#This Row],[Table 0 (4).Fanduel Position.2]]="PG"),Table_0[[#This Row],[IN]],"")</f>
        <v/>
      </c>
      <c r="Y159" s="1" t="str">
        <f>IF(OR(Table_0[[#This Row],[Table 0 (4).Fanduel Position]]="SG",Table_0[[#This Row],[Table 0 (4).Fanduel Position.2]]="SG"),Table_0[[#This Row],[IN]],"")</f>
        <v/>
      </c>
      <c r="Z159" s="1" t="str">
        <f>IF(OR(Table_0[[#This Row],[Table 0 (4).Fanduel Position]]="SF",Table_0[[#This Row],[Table 0 (4).Fanduel Position.2]]="SF"),Table_0[[#This Row],[IN]],"")</f>
        <v/>
      </c>
      <c r="AA159" s="1">
        <f>IF(OR(Table_0[[#This Row],[Table 0 (4).Fanduel Position]]="PF",Table_0[[#This Row],[Table 0 (4).Fanduel Position.2]]="PF"),Table_0[[#This Row],[IN]],"")</f>
        <v>0</v>
      </c>
      <c r="AB159" s="1">
        <f>IF(OR(Table_0[[#This Row],[Table 0 (4).Fanduel Position]]="C",Table_0[[#This Row],[Table 0 (4).Fanduel Position.2]]="C"),Table_0[[#This Row],[IN]],"")</f>
        <v>0</v>
      </c>
      <c r="AC159" s="1"/>
      <c r="AL159" t="str">
        <f t="shared" si="2"/>
        <v/>
      </c>
    </row>
    <row r="160" spans="1:38" x14ac:dyDescent="0.3">
      <c r="A160" s="1" t="s">
        <v>1568</v>
      </c>
      <c r="B160" s="1" t="s">
        <v>973</v>
      </c>
      <c r="C160" s="1" t="s">
        <v>381</v>
      </c>
      <c r="D160" s="1" t="s">
        <v>13</v>
      </c>
      <c r="E160" s="1"/>
      <c r="F160" s="3" t="s">
        <v>17</v>
      </c>
      <c r="G160">
        <v>0</v>
      </c>
      <c r="H160" s="1" t="s">
        <v>22</v>
      </c>
      <c r="I160" s="1" t="s">
        <v>1569</v>
      </c>
      <c r="J160">
        <v>0.63</v>
      </c>
      <c r="K160">
        <v>0</v>
      </c>
      <c r="L160">
        <v>3000</v>
      </c>
      <c r="M160">
        <v>0</v>
      </c>
      <c r="N160">
        <v>0</v>
      </c>
      <c r="O160" s="1">
        <v>3500</v>
      </c>
      <c r="P160" s="1"/>
      <c r="Q160" s="1"/>
      <c r="W160">
        <v>0</v>
      </c>
      <c r="X160" s="1" t="str">
        <f>IF(OR(Table_0[[#This Row],[Table 0 (4).Fanduel Position]]="PG",Table_0[[#This Row],[Table 0 (4).Fanduel Position.2]]="PG"),Table_0[[#This Row],[IN]],"")</f>
        <v/>
      </c>
      <c r="Y160" s="1" t="str">
        <f>IF(OR(Table_0[[#This Row],[Table 0 (4).Fanduel Position]]="SG",Table_0[[#This Row],[Table 0 (4).Fanduel Position.2]]="SG"),Table_0[[#This Row],[IN]],"")</f>
        <v/>
      </c>
      <c r="Z160" s="1" t="str">
        <f>IF(OR(Table_0[[#This Row],[Table 0 (4).Fanduel Position]]="SF",Table_0[[#This Row],[Table 0 (4).Fanduel Position.2]]="SF"),Table_0[[#This Row],[IN]],"")</f>
        <v/>
      </c>
      <c r="AA160" s="1" t="str">
        <f>IF(OR(Table_0[[#This Row],[Table 0 (4).Fanduel Position]]="PF",Table_0[[#This Row],[Table 0 (4).Fanduel Position.2]]="PF"),Table_0[[#This Row],[IN]],"")</f>
        <v/>
      </c>
      <c r="AB160" s="1" t="str">
        <f>IF(OR(Table_0[[#This Row],[Table 0 (4).Fanduel Position]]="C",Table_0[[#This Row],[Table 0 (4).Fanduel Position.2]]="C"),Table_0[[#This Row],[IN]],"")</f>
        <v/>
      </c>
      <c r="AC160" s="1"/>
      <c r="AL160" t="str">
        <f t="shared" si="2"/>
        <v/>
      </c>
    </row>
    <row r="161" spans="1:38" x14ac:dyDescent="0.3">
      <c r="A161" s="1" t="s">
        <v>1568</v>
      </c>
      <c r="B161" s="1" t="s">
        <v>842</v>
      </c>
      <c r="C161" s="1" t="s">
        <v>392</v>
      </c>
      <c r="D161" s="1" t="s">
        <v>18</v>
      </c>
      <c r="E161" s="1"/>
      <c r="F161" s="3" t="s">
        <v>222</v>
      </c>
      <c r="G161">
        <v>30.96</v>
      </c>
      <c r="H161" s="1" t="s">
        <v>1570</v>
      </c>
      <c r="I161" s="1" t="s">
        <v>373</v>
      </c>
      <c r="J161">
        <v>1.06</v>
      </c>
      <c r="K161">
        <v>33</v>
      </c>
      <c r="L161">
        <v>6100</v>
      </c>
      <c r="M161">
        <v>35.299999999999997</v>
      </c>
      <c r="N161">
        <v>36.17</v>
      </c>
      <c r="O161" s="1">
        <v>7500</v>
      </c>
      <c r="P161" s="1" t="s">
        <v>18</v>
      </c>
      <c r="Q161" s="1" t="s">
        <v>16</v>
      </c>
      <c r="R161">
        <v>3</v>
      </c>
      <c r="S161">
        <v>2</v>
      </c>
      <c r="T161">
        <v>211</v>
      </c>
      <c r="U161">
        <v>29.8</v>
      </c>
      <c r="V161">
        <v>3.97</v>
      </c>
      <c r="W161">
        <v>0</v>
      </c>
      <c r="X161" s="1" t="str">
        <f>IF(OR(Table_0[[#This Row],[Table 0 (4).Fanduel Position]]="PG",Table_0[[#This Row],[Table 0 (4).Fanduel Position.2]]="PG"),Table_0[[#This Row],[IN]],"")</f>
        <v/>
      </c>
      <c r="Y161" s="1" t="str">
        <f>IF(OR(Table_0[[#This Row],[Table 0 (4).Fanduel Position]]="SG",Table_0[[#This Row],[Table 0 (4).Fanduel Position.2]]="SG"),Table_0[[#This Row],[IN]],"")</f>
        <v/>
      </c>
      <c r="Z161" s="1" t="str">
        <f>IF(OR(Table_0[[#This Row],[Table 0 (4).Fanduel Position]]="SF",Table_0[[#This Row],[Table 0 (4).Fanduel Position.2]]="SF"),Table_0[[#This Row],[IN]],"")</f>
        <v/>
      </c>
      <c r="AA161" s="1">
        <f>IF(OR(Table_0[[#This Row],[Table 0 (4).Fanduel Position]]="PF",Table_0[[#This Row],[Table 0 (4).Fanduel Position.2]]="PF"),Table_0[[#This Row],[IN]],"")</f>
        <v>0</v>
      </c>
      <c r="AB161" s="1">
        <f>IF(OR(Table_0[[#This Row],[Table 0 (4).Fanduel Position]]="C",Table_0[[#This Row],[Table 0 (4).Fanduel Position.2]]="C"),Table_0[[#This Row],[IN]],"")</f>
        <v>0</v>
      </c>
      <c r="AC161" s="1"/>
      <c r="AL161" t="str">
        <f t="shared" si="2"/>
        <v/>
      </c>
    </row>
    <row r="162" spans="1:38" x14ac:dyDescent="0.3">
      <c r="A162" s="1" t="s">
        <v>1571</v>
      </c>
      <c r="B162" s="1" t="s">
        <v>1572</v>
      </c>
      <c r="C162" s="1" t="s">
        <v>392</v>
      </c>
      <c r="D162" s="1" t="s">
        <v>13</v>
      </c>
      <c r="E162" s="1"/>
      <c r="F162" s="3" t="s">
        <v>17</v>
      </c>
      <c r="G162">
        <v>4.43</v>
      </c>
      <c r="H162" s="1" t="s">
        <v>1573</v>
      </c>
      <c r="I162" s="1" t="s">
        <v>1267</v>
      </c>
      <c r="J162">
        <v>0.54</v>
      </c>
      <c r="K162">
        <v>0</v>
      </c>
      <c r="L162">
        <v>3000</v>
      </c>
      <c r="M162">
        <v>0</v>
      </c>
      <c r="N162">
        <v>0</v>
      </c>
      <c r="O162" s="1">
        <v>100000</v>
      </c>
      <c r="P162" s="1"/>
      <c r="Q162" s="1"/>
      <c r="W162">
        <v>0</v>
      </c>
      <c r="X162" s="1" t="str">
        <f>IF(OR(Table_0[[#This Row],[Table 0 (4).Fanduel Position]]="PG",Table_0[[#This Row],[Table 0 (4).Fanduel Position.2]]="PG"),Table_0[[#This Row],[IN]],"")</f>
        <v/>
      </c>
      <c r="Y162" s="1" t="str">
        <f>IF(OR(Table_0[[#This Row],[Table 0 (4).Fanduel Position]]="SG",Table_0[[#This Row],[Table 0 (4).Fanduel Position.2]]="SG"),Table_0[[#This Row],[IN]],"")</f>
        <v/>
      </c>
      <c r="Z162" s="1" t="str">
        <f>IF(OR(Table_0[[#This Row],[Table 0 (4).Fanduel Position]]="SF",Table_0[[#This Row],[Table 0 (4).Fanduel Position.2]]="SF"),Table_0[[#This Row],[IN]],"")</f>
        <v/>
      </c>
      <c r="AA162" s="1" t="str">
        <f>IF(OR(Table_0[[#This Row],[Table 0 (4).Fanduel Position]]="PF",Table_0[[#This Row],[Table 0 (4).Fanduel Position.2]]="PF"),Table_0[[#This Row],[IN]],"")</f>
        <v/>
      </c>
      <c r="AB162" s="1" t="str">
        <f>IF(OR(Table_0[[#This Row],[Table 0 (4).Fanduel Position]]="C",Table_0[[#This Row],[Table 0 (4).Fanduel Position.2]]="C"),Table_0[[#This Row],[IN]],"")</f>
        <v/>
      </c>
      <c r="AC162" s="1"/>
      <c r="AL162" t="str">
        <f t="shared" si="2"/>
        <v/>
      </c>
    </row>
    <row r="163" spans="1:38" x14ac:dyDescent="0.3">
      <c r="A163" s="1" t="s">
        <v>1574</v>
      </c>
      <c r="B163" s="1" t="s">
        <v>1138</v>
      </c>
      <c r="C163" s="1" t="s">
        <v>388</v>
      </c>
      <c r="D163" s="1" t="s">
        <v>18</v>
      </c>
      <c r="E163" s="1"/>
      <c r="F163" s="3" t="s">
        <v>33</v>
      </c>
      <c r="G163">
        <v>0</v>
      </c>
      <c r="H163" s="1" t="s">
        <v>22</v>
      </c>
      <c r="I163" s="1" t="s">
        <v>238</v>
      </c>
      <c r="J163">
        <v>0.96</v>
      </c>
      <c r="K163">
        <v>9</v>
      </c>
      <c r="L163">
        <v>3000</v>
      </c>
      <c r="M163">
        <v>6.52</v>
      </c>
      <c r="N163">
        <v>13.58</v>
      </c>
      <c r="O163" s="1">
        <v>3500</v>
      </c>
      <c r="P163" s="1" t="s">
        <v>18</v>
      </c>
      <c r="Q163" s="1"/>
      <c r="R163">
        <v>2</v>
      </c>
      <c r="S163">
        <v>4</v>
      </c>
      <c r="T163">
        <v>231</v>
      </c>
      <c r="U163">
        <v>7</v>
      </c>
      <c r="V163">
        <v>2</v>
      </c>
      <c r="W163">
        <v>0</v>
      </c>
      <c r="X163" s="1" t="str">
        <f>IF(OR(Table_0[[#This Row],[Table 0 (4).Fanduel Position]]="PG",Table_0[[#This Row],[Table 0 (4).Fanduel Position.2]]="PG"),Table_0[[#This Row],[IN]],"")</f>
        <v/>
      </c>
      <c r="Y163" s="1" t="str">
        <f>IF(OR(Table_0[[#This Row],[Table 0 (4).Fanduel Position]]="SG",Table_0[[#This Row],[Table 0 (4).Fanduel Position.2]]="SG"),Table_0[[#This Row],[IN]],"")</f>
        <v/>
      </c>
      <c r="Z163" s="1" t="str">
        <f>IF(OR(Table_0[[#This Row],[Table 0 (4).Fanduel Position]]="SF",Table_0[[#This Row],[Table 0 (4).Fanduel Position.2]]="SF"),Table_0[[#This Row],[IN]],"")</f>
        <v/>
      </c>
      <c r="AA163" s="1" t="str">
        <f>IF(OR(Table_0[[#This Row],[Table 0 (4).Fanduel Position]]="PF",Table_0[[#This Row],[Table 0 (4).Fanduel Position.2]]="PF"),Table_0[[#This Row],[IN]],"")</f>
        <v/>
      </c>
      <c r="AB163" s="1">
        <f>IF(OR(Table_0[[#This Row],[Table 0 (4).Fanduel Position]]="C",Table_0[[#This Row],[Table 0 (4).Fanduel Position.2]]="C"),Table_0[[#This Row],[IN]],"")</f>
        <v>0</v>
      </c>
      <c r="AC163" s="1"/>
      <c r="AL163" t="str">
        <f t="shared" si="2"/>
        <v/>
      </c>
    </row>
    <row r="164" spans="1:38" x14ac:dyDescent="0.3">
      <c r="A164" s="1" t="s">
        <v>1027</v>
      </c>
      <c r="B164" s="1" t="s">
        <v>1575</v>
      </c>
      <c r="C164" s="1" t="s">
        <v>396</v>
      </c>
      <c r="D164" s="1" t="s">
        <v>18</v>
      </c>
      <c r="E164" s="1"/>
      <c r="F164" s="3" t="s">
        <v>1438</v>
      </c>
      <c r="G164">
        <v>24.16</v>
      </c>
      <c r="H164" s="1" t="s">
        <v>1479</v>
      </c>
      <c r="I164" s="1" t="s">
        <v>1419</v>
      </c>
      <c r="J164">
        <v>0.73</v>
      </c>
      <c r="K164">
        <v>18</v>
      </c>
      <c r="L164">
        <v>4500</v>
      </c>
      <c r="M164">
        <v>15.86</v>
      </c>
      <c r="N164">
        <v>22.03</v>
      </c>
      <c r="O164" s="1">
        <v>4300</v>
      </c>
      <c r="P164" s="1" t="s">
        <v>18</v>
      </c>
      <c r="Q164" s="1"/>
      <c r="R164">
        <v>12</v>
      </c>
      <c r="S164">
        <v>2.5</v>
      </c>
      <c r="T164">
        <v>204.5</v>
      </c>
      <c r="U164">
        <v>15</v>
      </c>
      <c r="V164">
        <v>3.49</v>
      </c>
      <c r="W164">
        <v>0</v>
      </c>
      <c r="X164" s="1" t="str">
        <f>IF(OR(Table_0[[#This Row],[Table 0 (4).Fanduel Position]]="PG",Table_0[[#This Row],[Table 0 (4).Fanduel Position.2]]="PG"),Table_0[[#This Row],[IN]],"")</f>
        <v/>
      </c>
      <c r="Y164" s="1" t="str">
        <f>IF(OR(Table_0[[#This Row],[Table 0 (4).Fanduel Position]]="SG",Table_0[[#This Row],[Table 0 (4).Fanduel Position.2]]="SG"),Table_0[[#This Row],[IN]],"")</f>
        <v/>
      </c>
      <c r="Z164" s="1" t="str">
        <f>IF(OR(Table_0[[#This Row],[Table 0 (4).Fanduel Position]]="SF",Table_0[[#This Row],[Table 0 (4).Fanduel Position.2]]="SF"),Table_0[[#This Row],[IN]],"")</f>
        <v/>
      </c>
      <c r="AA164" s="1" t="str">
        <f>IF(OR(Table_0[[#This Row],[Table 0 (4).Fanduel Position]]="PF",Table_0[[#This Row],[Table 0 (4).Fanduel Position.2]]="PF"),Table_0[[#This Row],[IN]],"")</f>
        <v/>
      </c>
      <c r="AB164" s="1">
        <f>IF(OR(Table_0[[#This Row],[Table 0 (4).Fanduel Position]]="C",Table_0[[#This Row],[Table 0 (4).Fanduel Position.2]]="C"),Table_0[[#This Row],[IN]],"")</f>
        <v>0</v>
      </c>
      <c r="AC164" s="1"/>
      <c r="AL164" t="str">
        <f t="shared" si="2"/>
        <v/>
      </c>
    </row>
    <row r="165" spans="1:38" x14ac:dyDescent="0.3">
      <c r="A165" s="1" t="s">
        <v>1576</v>
      </c>
      <c r="B165" s="1" t="s">
        <v>1577</v>
      </c>
      <c r="C165" s="1" t="s">
        <v>382</v>
      </c>
      <c r="D165" s="1" t="s">
        <v>18</v>
      </c>
      <c r="E165" s="1"/>
      <c r="F165" s="3" t="s">
        <v>17</v>
      </c>
      <c r="G165">
        <v>3.44</v>
      </c>
      <c r="H165" s="1" t="s">
        <v>1578</v>
      </c>
      <c r="I165" s="1" t="s">
        <v>238</v>
      </c>
      <c r="J165">
        <v>0.97</v>
      </c>
      <c r="K165">
        <v>0</v>
      </c>
      <c r="L165">
        <v>3000</v>
      </c>
      <c r="M165">
        <v>0</v>
      </c>
      <c r="N165">
        <v>0</v>
      </c>
      <c r="O165" s="1">
        <v>3500</v>
      </c>
      <c r="P165" s="1"/>
      <c r="Q165" s="1"/>
      <c r="W165">
        <v>0</v>
      </c>
      <c r="X165" s="1" t="str">
        <f>IF(OR(Table_0[[#This Row],[Table 0 (4).Fanduel Position]]="PG",Table_0[[#This Row],[Table 0 (4).Fanduel Position.2]]="PG"),Table_0[[#This Row],[IN]],"")</f>
        <v/>
      </c>
      <c r="Y165" s="1" t="str">
        <f>IF(OR(Table_0[[#This Row],[Table 0 (4).Fanduel Position]]="SG",Table_0[[#This Row],[Table 0 (4).Fanduel Position.2]]="SG"),Table_0[[#This Row],[IN]],"")</f>
        <v/>
      </c>
      <c r="Z165" s="1" t="str">
        <f>IF(OR(Table_0[[#This Row],[Table 0 (4).Fanduel Position]]="SF",Table_0[[#This Row],[Table 0 (4).Fanduel Position.2]]="SF"),Table_0[[#This Row],[IN]],"")</f>
        <v/>
      </c>
      <c r="AA165" s="1" t="str">
        <f>IF(OR(Table_0[[#This Row],[Table 0 (4).Fanduel Position]]="PF",Table_0[[#This Row],[Table 0 (4).Fanduel Position.2]]="PF"),Table_0[[#This Row],[IN]],"")</f>
        <v/>
      </c>
      <c r="AB165" s="1" t="str">
        <f>IF(OR(Table_0[[#This Row],[Table 0 (4).Fanduel Position]]="C",Table_0[[#This Row],[Table 0 (4).Fanduel Position.2]]="C"),Table_0[[#This Row],[IN]],"")</f>
        <v/>
      </c>
      <c r="AC165" s="1"/>
      <c r="AL165" t="str">
        <f t="shared" si="2"/>
        <v/>
      </c>
    </row>
    <row r="166" spans="1:38" x14ac:dyDescent="0.3">
      <c r="A166" s="1" t="s">
        <v>1579</v>
      </c>
      <c r="B166" s="1" t="s">
        <v>1580</v>
      </c>
      <c r="C166" s="1" t="s">
        <v>398</v>
      </c>
      <c r="D166" s="1" t="s">
        <v>18</v>
      </c>
      <c r="E166" s="1"/>
      <c r="F166" s="3" t="s">
        <v>27</v>
      </c>
      <c r="G166">
        <v>18.559999999999999</v>
      </c>
      <c r="H166" s="1" t="s">
        <v>1581</v>
      </c>
      <c r="I166" s="1" t="s">
        <v>1261</v>
      </c>
      <c r="J166">
        <v>0.96</v>
      </c>
      <c r="K166">
        <v>26</v>
      </c>
      <c r="L166">
        <v>5000</v>
      </c>
      <c r="M166">
        <v>26.96</v>
      </c>
      <c r="N166">
        <v>33.700000000000003</v>
      </c>
      <c r="O166" s="1">
        <v>5200</v>
      </c>
      <c r="P166" s="1" t="s">
        <v>18</v>
      </c>
      <c r="Q166" s="1" t="s">
        <v>16</v>
      </c>
      <c r="R166">
        <v>10</v>
      </c>
      <c r="S166">
        <v>2</v>
      </c>
      <c r="T166">
        <v>235.5</v>
      </c>
      <c r="U166">
        <v>25.5</v>
      </c>
      <c r="V166">
        <v>4.8899999999999997</v>
      </c>
      <c r="W166">
        <v>0</v>
      </c>
      <c r="X166" s="1" t="str">
        <f>IF(OR(Table_0[[#This Row],[Table 0 (4).Fanduel Position]]="PG",Table_0[[#This Row],[Table 0 (4).Fanduel Position.2]]="PG"),Table_0[[#This Row],[IN]],"")</f>
        <v/>
      </c>
      <c r="Y166" s="1" t="str">
        <f>IF(OR(Table_0[[#This Row],[Table 0 (4).Fanduel Position]]="SG",Table_0[[#This Row],[Table 0 (4).Fanduel Position.2]]="SG"),Table_0[[#This Row],[IN]],"")</f>
        <v/>
      </c>
      <c r="Z166" s="1" t="str">
        <f>IF(OR(Table_0[[#This Row],[Table 0 (4).Fanduel Position]]="SF",Table_0[[#This Row],[Table 0 (4).Fanduel Position.2]]="SF"),Table_0[[#This Row],[IN]],"")</f>
        <v/>
      </c>
      <c r="AA166" s="1">
        <f>IF(OR(Table_0[[#This Row],[Table 0 (4).Fanduel Position]]="PF",Table_0[[#This Row],[Table 0 (4).Fanduel Position.2]]="PF"),Table_0[[#This Row],[IN]],"")</f>
        <v>0</v>
      </c>
      <c r="AB166" s="1">
        <f>IF(OR(Table_0[[#This Row],[Table 0 (4).Fanduel Position]]="C",Table_0[[#This Row],[Table 0 (4).Fanduel Position.2]]="C"),Table_0[[#This Row],[IN]],"")</f>
        <v>0</v>
      </c>
      <c r="AC166" s="1"/>
      <c r="AL166" t="str">
        <f t="shared" si="2"/>
        <v/>
      </c>
    </row>
    <row r="167" spans="1:38" x14ac:dyDescent="0.3">
      <c r="A167" s="1" t="s">
        <v>1582</v>
      </c>
      <c r="B167" s="1" t="s">
        <v>250</v>
      </c>
      <c r="C167" s="1" t="s">
        <v>251</v>
      </c>
      <c r="D167" s="1" t="s">
        <v>18</v>
      </c>
      <c r="E167" s="1"/>
      <c r="F167" s="3" t="s">
        <v>1297</v>
      </c>
      <c r="G167">
        <v>33.54</v>
      </c>
      <c r="H167" s="1" t="s">
        <v>1583</v>
      </c>
      <c r="I167" s="1" t="s">
        <v>1544</v>
      </c>
      <c r="J167">
        <v>1.25</v>
      </c>
      <c r="K167">
        <v>32</v>
      </c>
      <c r="L167">
        <v>9100</v>
      </c>
      <c r="M167">
        <v>45.8</v>
      </c>
      <c r="N167">
        <v>31.46</v>
      </c>
      <c r="O167" s="1">
        <v>9100</v>
      </c>
      <c r="P167" s="1" t="s">
        <v>18</v>
      </c>
      <c r="Q167" s="1"/>
      <c r="R167">
        <v>25</v>
      </c>
      <c r="S167">
        <v>-2</v>
      </c>
      <c r="T167">
        <v>235.5</v>
      </c>
      <c r="U167">
        <v>42.1</v>
      </c>
      <c r="V167">
        <v>4.63</v>
      </c>
      <c r="W167">
        <v>0</v>
      </c>
      <c r="X167" s="1" t="str">
        <f>IF(OR(Table_0[[#This Row],[Table 0 (4).Fanduel Position]]="PG",Table_0[[#This Row],[Table 0 (4).Fanduel Position.2]]="PG"),Table_0[[#This Row],[IN]],"")</f>
        <v/>
      </c>
      <c r="Y167" s="1" t="str">
        <f>IF(OR(Table_0[[#This Row],[Table 0 (4).Fanduel Position]]="SG",Table_0[[#This Row],[Table 0 (4).Fanduel Position.2]]="SG"),Table_0[[#This Row],[IN]],"")</f>
        <v/>
      </c>
      <c r="Z167" s="1" t="str">
        <f>IF(OR(Table_0[[#This Row],[Table 0 (4).Fanduel Position]]="SF",Table_0[[#This Row],[Table 0 (4).Fanduel Position.2]]="SF"),Table_0[[#This Row],[IN]],"")</f>
        <v/>
      </c>
      <c r="AA167" s="1" t="str">
        <f>IF(OR(Table_0[[#This Row],[Table 0 (4).Fanduel Position]]="PF",Table_0[[#This Row],[Table 0 (4).Fanduel Position.2]]="PF"),Table_0[[#This Row],[IN]],"")</f>
        <v/>
      </c>
      <c r="AB167" s="1">
        <f>IF(OR(Table_0[[#This Row],[Table 0 (4).Fanduel Position]]="C",Table_0[[#This Row],[Table 0 (4).Fanduel Position.2]]="C"),Table_0[[#This Row],[IN]],"")</f>
        <v>0</v>
      </c>
      <c r="AC167" s="1"/>
      <c r="AL167" t="str">
        <f t="shared" si="2"/>
        <v/>
      </c>
    </row>
    <row r="168" spans="1:38" x14ac:dyDescent="0.3">
      <c r="A168" s="1" t="s">
        <v>1584</v>
      </c>
      <c r="B168" s="1" t="s">
        <v>1585</v>
      </c>
      <c r="C168" s="1" t="s">
        <v>427</v>
      </c>
      <c r="D168" s="1" t="s">
        <v>18</v>
      </c>
      <c r="E168" s="1"/>
      <c r="F168" s="3" t="s">
        <v>1586</v>
      </c>
      <c r="G168">
        <v>6.38</v>
      </c>
      <c r="H168" s="1" t="s">
        <v>1587</v>
      </c>
      <c r="I168" s="1" t="s">
        <v>365</v>
      </c>
      <c r="J168">
        <v>0.79</v>
      </c>
      <c r="K168">
        <v>8</v>
      </c>
      <c r="L168">
        <v>3000</v>
      </c>
      <c r="M168">
        <v>8.0500000000000007</v>
      </c>
      <c r="N168">
        <v>16.77</v>
      </c>
      <c r="O168" s="1">
        <v>3500</v>
      </c>
      <c r="P168" s="1" t="s">
        <v>16</v>
      </c>
      <c r="Q168" s="1"/>
      <c r="R168">
        <v>20</v>
      </c>
      <c r="S168">
        <v>-5.5</v>
      </c>
      <c r="T168">
        <v>222.5</v>
      </c>
      <c r="U168">
        <v>13.5</v>
      </c>
      <c r="V168">
        <v>3.85</v>
      </c>
      <c r="W168">
        <v>0</v>
      </c>
      <c r="X168" s="1" t="str">
        <f>IF(OR(Table_0[[#This Row],[Table 0 (4).Fanduel Position]]="PG",Table_0[[#This Row],[Table 0 (4).Fanduel Position.2]]="PG"),Table_0[[#This Row],[IN]],"")</f>
        <v/>
      </c>
      <c r="Y168" s="1" t="str">
        <f>IF(OR(Table_0[[#This Row],[Table 0 (4).Fanduel Position]]="SG",Table_0[[#This Row],[Table 0 (4).Fanduel Position.2]]="SG"),Table_0[[#This Row],[IN]],"")</f>
        <v/>
      </c>
      <c r="Z168" s="1" t="str">
        <f>IF(OR(Table_0[[#This Row],[Table 0 (4).Fanduel Position]]="SF",Table_0[[#This Row],[Table 0 (4).Fanduel Position.2]]="SF"),Table_0[[#This Row],[IN]],"")</f>
        <v/>
      </c>
      <c r="AA168" s="1">
        <f>IF(OR(Table_0[[#This Row],[Table 0 (4).Fanduel Position]]="PF",Table_0[[#This Row],[Table 0 (4).Fanduel Position.2]]="PF"),Table_0[[#This Row],[IN]],"")</f>
        <v>0</v>
      </c>
      <c r="AB168" s="1" t="str">
        <f>IF(OR(Table_0[[#This Row],[Table 0 (4).Fanduel Position]]="C",Table_0[[#This Row],[Table 0 (4).Fanduel Position.2]]="C"),Table_0[[#This Row],[IN]],"")</f>
        <v/>
      </c>
      <c r="AC168" s="1"/>
      <c r="AL168" t="str">
        <f t="shared" si="2"/>
        <v/>
      </c>
    </row>
    <row r="169" spans="1:38" x14ac:dyDescent="0.3">
      <c r="A169" s="1" t="s">
        <v>1110</v>
      </c>
      <c r="B169" s="1" t="s">
        <v>1111</v>
      </c>
      <c r="C169" s="1" t="s">
        <v>396</v>
      </c>
      <c r="D169" s="1" t="s">
        <v>16</v>
      </c>
      <c r="E169" s="1"/>
      <c r="F169" s="3" t="s">
        <v>223</v>
      </c>
      <c r="G169">
        <v>11.02</v>
      </c>
      <c r="H169" s="1" t="s">
        <v>1588</v>
      </c>
      <c r="I169" s="1" t="s">
        <v>238</v>
      </c>
      <c r="J169">
        <v>1.02</v>
      </c>
      <c r="K169">
        <v>11</v>
      </c>
      <c r="L169">
        <v>3300</v>
      </c>
      <c r="M169">
        <v>14.27</v>
      </c>
      <c r="N169">
        <v>27.03</v>
      </c>
      <c r="O169" s="1">
        <v>3700</v>
      </c>
      <c r="P169" s="1" t="s">
        <v>16</v>
      </c>
      <c r="Q169" s="1"/>
      <c r="R169">
        <v>18</v>
      </c>
      <c r="S169">
        <v>2.5</v>
      </c>
      <c r="T169">
        <v>204.5</v>
      </c>
      <c r="U169">
        <v>11.3</v>
      </c>
      <c r="V169">
        <v>3.04</v>
      </c>
      <c r="W169">
        <v>0</v>
      </c>
      <c r="X169" s="1" t="str">
        <f>IF(OR(Table_0[[#This Row],[Table 0 (4).Fanduel Position]]="PG",Table_0[[#This Row],[Table 0 (4).Fanduel Position.2]]="PG"),Table_0[[#This Row],[IN]],"")</f>
        <v/>
      </c>
      <c r="Y169" s="1" t="str">
        <f>IF(OR(Table_0[[#This Row],[Table 0 (4).Fanduel Position]]="SG",Table_0[[#This Row],[Table 0 (4).Fanduel Position.2]]="SG"),Table_0[[#This Row],[IN]],"")</f>
        <v/>
      </c>
      <c r="Z169" s="1" t="str">
        <f>IF(OR(Table_0[[#This Row],[Table 0 (4).Fanduel Position]]="SF",Table_0[[#This Row],[Table 0 (4).Fanduel Position.2]]="SF"),Table_0[[#This Row],[IN]],"")</f>
        <v/>
      </c>
      <c r="AA169" s="1">
        <f>IF(OR(Table_0[[#This Row],[Table 0 (4).Fanduel Position]]="PF",Table_0[[#This Row],[Table 0 (4).Fanduel Position.2]]="PF"),Table_0[[#This Row],[IN]],"")</f>
        <v>0</v>
      </c>
      <c r="AB169" s="1" t="str">
        <f>IF(OR(Table_0[[#This Row],[Table 0 (4).Fanduel Position]]="C",Table_0[[#This Row],[Table 0 (4).Fanduel Position.2]]="C"),Table_0[[#This Row],[IN]],"")</f>
        <v/>
      </c>
      <c r="AC169" s="1"/>
      <c r="AL169" t="str">
        <f t="shared" si="2"/>
        <v/>
      </c>
    </row>
    <row r="170" spans="1:38" x14ac:dyDescent="0.3">
      <c r="A170" s="1" t="s">
        <v>1589</v>
      </c>
      <c r="B170" s="1" t="s">
        <v>1085</v>
      </c>
      <c r="C170" s="1" t="s">
        <v>392</v>
      </c>
      <c r="D170" s="1" t="s">
        <v>16</v>
      </c>
      <c r="E170" s="1" t="s">
        <v>18</v>
      </c>
      <c r="F170" s="3" t="s">
        <v>1364</v>
      </c>
      <c r="G170">
        <v>24.71</v>
      </c>
      <c r="H170" s="1" t="s">
        <v>1506</v>
      </c>
      <c r="I170" s="1" t="s">
        <v>1433</v>
      </c>
      <c r="J170">
        <v>0.79</v>
      </c>
      <c r="K170">
        <v>19</v>
      </c>
      <c r="L170">
        <v>3500</v>
      </c>
      <c r="M170">
        <v>18.559999999999999</v>
      </c>
      <c r="N170">
        <v>33.14</v>
      </c>
      <c r="O170" s="1">
        <v>4200</v>
      </c>
      <c r="P170" s="1" t="s">
        <v>14</v>
      </c>
      <c r="Q170" s="1"/>
      <c r="R170">
        <v>26</v>
      </c>
      <c r="S170">
        <v>2</v>
      </c>
      <c r="T170">
        <v>211</v>
      </c>
      <c r="U170">
        <v>13</v>
      </c>
      <c r="V170">
        <v>3.1</v>
      </c>
      <c r="W170">
        <v>0</v>
      </c>
      <c r="X170" s="1" t="str">
        <f>IF(OR(Table_0[[#This Row],[Table 0 (4).Fanduel Position]]="PG",Table_0[[#This Row],[Table 0 (4).Fanduel Position.2]]="PG"),Table_0[[#This Row],[IN]],"")</f>
        <v/>
      </c>
      <c r="Y170" s="1" t="str">
        <f>IF(OR(Table_0[[#This Row],[Table 0 (4).Fanduel Position]]="SG",Table_0[[#This Row],[Table 0 (4).Fanduel Position.2]]="SG"),Table_0[[#This Row],[IN]],"")</f>
        <v/>
      </c>
      <c r="Z170" s="1">
        <f>IF(OR(Table_0[[#This Row],[Table 0 (4).Fanduel Position]]="SF",Table_0[[#This Row],[Table 0 (4).Fanduel Position.2]]="SF"),Table_0[[#This Row],[IN]],"")</f>
        <v>0</v>
      </c>
      <c r="AA170" s="1" t="str">
        <f>IF(OR(Table_0[[#This Row],[Table 0 (4).Fanduel Position]]="PF",Table_0[[#This Row],[Table 0 (4).Fanduel Position.2]]="PF"),Table_0[[#This Row],[IN]],"")</f>
        <v/>
      </c>
      <c r="AB170" s="1" t="str">
        <f>IF(OR(Table_0[[#This Row],[Table 0 (4).Fanduel Position]]="C",Table_0[[#This Row],[Table 0 (4).Fanduel Position.2]]="C"),Table_0[[#This Row],[IN]],"")</f>
        <v/>
      </c>
      <c r="AC170" s="1"/>
      <c r="AL170" t="str">
        <f t="shared" si="2"/>
        <v/>
      </c>
    </row>
    <row r="171" spans="1:38" x14ac:dyDescent="0.3">
      <c r="A171" s="1" t="s">
        <v>906</v>
      </c>
      <c r="B171" s="1" t="s">
        <v>907</v>
      </c>
      <c r="C171" s="1" t="s">
        <v>382</v>
      </c>
      <c r="D171" s="1" t="s">
        <v>16</v>
      </c>
      <c r="E171" s="1" t="s">
        <v>18</v>
      </c>
      <c r="F171" s="3" t="s">
        <v>27</v>
      </c>
      <c r="G171">
        <v>30.52</v>
      </c>
      <c r="H171" s="1" t="s">
        <v>1318</v>
      </c>
      <c r="I171" s="1" t="s">
        <v>1264</v>
      </c>
      <c r="J171">
        <v>1.02</v>
      </c>
      <c r="K171">
        <v>26</v>
      </c>
      <c r="L171">
        <v>4900</v>
      </c>
      <c r="M171">
        <v>27.71</v>
      </c>
      <c r="N171">
        <v>35.340000000000003</v>
      </c>
      <c r="O171" s="1">
        <v>5700</v>
      </c>
      <c r="P171" s="1" t="s">
        <v>16</v>
      </c>
      <c r="Q171" s="1" t="s">
        <v>18</v>
      </c>
      <c r="R171">
        <v>25</v>
      </c>
      <c r="S171">
        <v>5.5</v>
      </c>
      <c r="T171">
        <v>225</v>
      </c>
      <c r="U171">
        <v>23.6</v>
      </c>
      <c r="V171">
        <v>4.1399999999999997</v>
      </c>
      <c r="W171">
        <v>0</v>
      </c>
      <c r="X171" s="1" t="str">
        <f>IF(OR(Table_0[[#This Row],[Table 0 (4).Fanduel Position]]="PG",Table_0[[#This Row],[Table 0 (4).Fanduel Position.2]]="PG"),Table_0[[#This Row],[IN]],"")</f>
        <v/>
      </c>
      <c r="Y171" s="1" t="str">
        <f>IF(OR(Table_0[[#This Row],[Table 0 (4).Fanduel Position]]="SG",Table_0[[#This Row],[Table 0 (4).Fanduel Position.2]]="SG"),Table_0[[#This Row],[IN]],"")</f>
        <v/>
      </c>
      <c r="Z171" s="1" t="str">
        <f>IF(OR(Table_0[[#This Row],[Table 0 (4).Fanduel Position]]="SF",Table_0[[#This Row],[Table 0 (4).Fanduel Position.2]]="SF"),Table_0[[#This Row],[IN]],"")</f>
        <v/>
      </c>
      <c r="AA171" s="1">
        <f>IF(OR(Table_0[[#This Row],[Table 0 (4).Fanduel Position]]="PF",Table_0[[#This Row],[Table 0 (4).Fanduel Position.2]]="PF"),Table_0[[#This Row],[IN]],"")</f>
        <v>0</v>
      </c>
      <c r="AB171" s="1">
        <f>IF(OR(Table_0[[#This Row],[Table 0 (4).Fanduel Position]]="C",Table_0[[#This Row],[Table 0 (4).Fanduel Position.2]]="C"),Table_0[[#This Row],[IN]],"")</f>
        <v>0</v>
      </c>
      <c r="AC171" s="1"/>
      <c r="AL171" t="str">
        <f t="shared" si="2"/>
        <v/>
      </c>
    </row>
    <row r="172" spans="1:38" x14ac:dyDescent="0.3">
      <c r="A172" s="1" t="s">
        <v>1590</v>
      </c>
      <c r="B172" s="1" t="s">
        <v>948</v>
      </c>
      <c r="C172" s="1" t="s">
        <v>398</v>
      </c>
      <c r="D172" s="1" t="s">
        <v>21</v>
      </c>
      <c r="E172" s="1" t="s">
        <v>13</v>
      </c>
      <c r="F172" s="3" t="s">
        <v>1297</v>
      </c>
      <c r="G172">
        <v>24.76</v>
      </c>
      <c r="H172" s="1" t="s">
        <v>1591</v>
      </c>
      <c r="I172" s="1" t="s">
        <v>1592</v>
      </c>
      <c r="J172">
        <v>0.73</v>
      </c>
      <c r="K172">
        <v>32</v>
      </c>
      <c r="L172">
        <v>4800</v>
      </c>
      <c r="M172">
        <v>26.59</v>
      </c>
      <c r="N172">
        <v>34.619999999999997</v>
      </c>
      <c r="O172" s="1">
        <v>5000</v>
      </c>
      <c r="P172" s="1" t="s">
        <v>13</v>
      </c>
      <c r="Q172" s="1" t="s">
        <v>21</v>
      </c>
      <c r="R172">
        <v>13</v>
      </c>
      <c r="S172">
        <v>2</v>
      </c>
      <c r="T172">
        <v>235.5</v>
      </c>
      <c r="U172">
        <v>20.7</v>
      </c>
      <c r="V172">
        <v>4.1399999999999997</v>
      </c>
      <c r="W172">
        <v>0</v>
      </c>
      <c r="X172" s="1">
        <f>IF(OR(Table_0[[#This Row],[Table 0 (4).Fanduel Position]]="PG",Table_0[[#This Row],[Table 0 (4).Fanduel Position.2]]="PG"),Table_0[[#This Row],[IN]],"")</f>
        <v>0</v>
      </c>
      <c r="Y172" s="1">
        <f>IF(OR(Table_0[[#This Row],[Table 0 (4).Fanduel Position]]="SG",Table_0[[#This Row],[Table 0 (4).Fanduel Position.2]]="SG"),Table_0[[#This Row],[IN]],"")</f>
        <v>0</v>
      </c>
      <c r="Z172" s="1" t="str">
        <f>IF(OR(Table_0[[#This Row],[Table 0 (4).Fanduel Position]]="SF",Table_0[[#This Row],[Table 0 (4).Fanduel Position.2]]="SF"),Table_0[[#This Row],[IN]],"")</f>
        <v/>
      </c>
      <c r="AA172" s="1" t="str">
        <f>IF(OR(Table_0[[#This Row],[Table 0 (4).Fanduel Position]]="PF",Table_0[[#This Row],[Table 0 (4).Fanduel Position.2]]="PF"),Table_0[[#This Row],[IN]],"")</f>
        <v/>
      </c>
      <c r="AB172" s="1" t="str">
        <f>IF(OR(Table_0[[#This Row],[Table 0 (4).Fanduel Position]]="C",Table_0[[#This Row],[Table 0 (4).Fanduel Position.2]]="C"),Table_0[[#This Row],[IN]],"")</f>
        <v/>
      </c>
      <c r="AC172" s="1"/>
      <c r="AL172" t="str">
        <f t="shared" si="2"/>
        <v/>
      </c>
    </row>
    <row r="173" spans="1:38" x14ac:dyDescent="0.3">
      <c r="A173" s="1" t="s">
        <v>1593</v>
      </c>
      <c r="B173" s="1" t="s">
        <v>1097</v>
      </c>
      <c r="C173" s="1" t="s">
        <v>385</v>
      </c>
      <c r="D173" s="1" t="s">
        <v>21</v>
      </c>
      <c r="E173" s="1"/>
      <c r="F173" s="3" t="s">
        <v>1407</v>
      </c>
      <c r="G173">
        <v>19.2</v>
      </c>
      <c r="H173" s="1" t="s">
        <v>1311</v>
      </c>
      <c r="I173" s="1" t="s">
        <v>1286</v>
      </c>
      <c r="J173">
        <v>0.88</v>
      </c>
      <c r="K173">
        <v>16</v>
      </c>
      <c r="L173">
        <v>4600</v>
      </c>
      <c r="M173">
        <v>19.559999999999999</v>
      </c>
      <c r="N173">
        <v>26.58</v>
      </c>
      <c r="O173" s="1">
        <v>4700</v>
      </c>
      <c r="P173" s="1" t="s">
        <v>21</v>
      </c>
      <c r="Q173" s="1" t="s">
        <v>13</v>
      </c>
      <c r="R173">
        <v>8</v>
      </c>
      <c r="S173">
        <v>-2</v>
      </c>
      <c r="T173">
        <v>211</v>
      </c>
      <c r="U173">
        <v>12.2</v>
      </c>
      <c r="V173">
        <v>2.59</v>
      </c>
      <c r="W173">
        <v>0</v>
      </c>
      <c r="X173" s="1">
        <f>IF(OR(Table_0[[#This Row],[Table 0 (4).Fanduel Position]]="PG",Table_0[[#This Row],[Table 0 (4).Fanduel Position.2]]="PG"),Table_0[[#This Row],[IN]],"")</f>
        <v>0</v>
      </c>
      <c r="Y173" s="1">
        <f>IF(OR(Table_0[[#This Row],[Table 0 (4).Fanduel Position]]="SG",Table_0[[#This Row],[Table 0 (4).Fanduel Position.2]]="SG"),Table_0[[#This Row],[IN]],"")</f>
        <v>0</v>
      </c>
      <c r="Z173" s="1" t="str">
        <f>IF(OR(Table_0[[#This Row],[Table 0 (4).Fanduel Position]]="SF",Table_0[[#This Row],[Table 0 (4).Fanduel Position.2]]="SF"),Table_0[[#This Row],[IN]],"")</f>
        <v/>
      </c>
      <c r="AA173" s="1" t="str">
        <f>IF(OR(Table_0[[#This Row],[Table 0 (4).Fanduel Position]]="PF",Table_0[[#This Row],[Table 0 (4).Fanduel Position.2]]="PF"),Table_0[[#This Row],[IN]],"")</f>
        <v/>
      </c>
      <c r="AB173" s="1" t="str">
        <f>IF(OR(Table_0[[#This Row],[Table 0 (4).Fanduel Position]]="C",Table_0[[#This Row],[Table 0 (4).Fanduel Position.2]]="C"),Table_0[[#This Row],[IN]],"")</f>
        <v/>
      </c>
      <c r="AC173" s="1"/>
      <c r="AL173" t="str">
        <f t="shared" si="2"/>
        <v/>
      </c>
    </row>
    <row r="174" spans="1:38" x14ac:dyDescent="0.3">
      <c r="A174" s="1" t="s">
        <v>1594</v>
      </c>
      <c r="B174" s="1" t="s">
        <v>1023</v>
      </c>
      <c r="C174" s="1" t="s">
        <v>396</v>
      </c>
      <c r="D174" s="1" t="s">
        <v>13</v>
      </c>
      <c r="E174" s="1"/>
      <c r="F174" s="3" t="s">
        <v>33</v>
      </c>
      <c r="G174">
        <v>0</v>
      </c>
      <c r="H174" s="1" t="s">
        <v>1359</v>
      </c>
      <c r="I174" s="1" t="s">
        <v>1595</v>
      </c>
      <c r="J174">
        <v>0.76</v>
      </c>
      <c r="K174">
        <v>9</v>
      </c>
      <c r="L174">
        <v>3500</v>
      </c>
      <c r="M174">
        <v>13.52</v>
      </c>
      <c r="N174">
        <v>24.14</v>
      </c>
      <c r="O174" s="1">
        <v>3800</v>
      </c>
      <c r="P174" s="1" t="s">
        <v>13</v>
      </c>
      <c r="Q174" s="1"/>
      <c r="R174">
        <v>7</v>
      </c>
      <c r="S174">
        <v>2.5</v>
      </c>
      <c r="T174">
        <v>204.5</v>
      </c>
      <c r="U174">
        <v>15.2</v>
      </c>
      <c r="V174">
        <v>4.01</v>
      </c>
      <c r="W174">
        <v>0</v>
      </c>
      <c r="X174" s="1" t="str">
        <f>IF(OR(Table_0[[#This Row],[Table 0 (4).Fanduel Position]]="PG",Table_0[[#This Row],[Table 0 (4).Fanduel Position.2]]="PG"),Table_0[[#This Row],[IN]],"")</f>
        <v/>
      </c>
      <c r="Y174" s="1">
        <f>IF(OR(Table_0[[#This Row],[Table 0 (4).Fanduel Position]]="SG",Table_0[[#This Row],[Table 0 (4).Fanduel Position.2]]="SG"),Table_0[[#This Row],[IN]],"")</f>
        <v>0</v>
      </c>
      <c r="Z174" s="1" t="str">
        <f>IF(OR(Table_0[[#This Row],[Table 0 (4).Fanduel Position]]="SF",Table_0[[#This Row],[Table 0 (4).Fanduel Position.2]]="SF"),Table_0[[#This Row],[IN]],"")</f>
        <v/>
      </c>
      <c r="AA174" s="1" t="str">
        <f>IF(OR(Table_0[[#This Row],[Table 0 (4).Fanduel Position]]="PF",Table_0[[#This Row],[Table 0 (4).Fanduel Position.2]]="PF"),Table_0[[#This Row],[IN]],"")</f>
        <v/>
      </c>
      <c r="AB174" s="1" t="str">
        <f>IF(OR(Table_0[[#This Row],[Table 0 (4).Fanduel Position]]="C",Table_0[[#This Row],[Table 0 (4).Fanduel Position.2]]="C"),Table_0[[#This Row],[IN]],"")</f>
        <v/>
      </c>
      <c r="AC174" s="1"/>
      <c r="AL174" t="str">
        <f t="shared" si="2"/>
        <v/>
      </c>
    </row>
    <row r="175" spans="1:38" x14ac:dyDescent="0.3">
      <c r="A175" s="1" t="s">
        <v>1596</v>
      </c>
      <c r="B175" s="1" t="s">
        <v>1597</v>
      </c>
      <c r="C175" s="1" t="s">
        <v>428</v>
      </c>
      <c r="D175" s="1" t="s">
        <v>21</v>
      </c>
      <c r="E175" s="1"/>
      <c r="F175" s="3" t="s">
        <v>38</v>
      </c>
      <c r="G175">
        <v>17.09</v>
      </c>
      <c r="H175" s="1" t="s">
        <v>1598</v>
      </c>
      <c r="I175" s="1" t="s">
        <v>1355</v>
      </c>
      <c r="J175">
        <v>0.89</v>
      </c>
      <c r="K175">
        <v>15</v>
      </c>
      <c r="L175">
        <v>3800</v>
      </c>
      <c r="M175">
        <v>19.899999999999999</v>
      </c>
      <c r="N175">
        <v>32.729999999999997</v>
      </c>
      <c r="O175" s="1">
        <v>4800</v>
      </c>
      <c r="P175" s="1" t="s">
        <v>21</v>
      </c>
      <c r="Q175" s="1"/>
      <c r="R175">
        <v>15</v>
      </c>
      <c r="S175">
        <v>5.5</v>
      </c>
      <c r="T175">
        <v>222.5</v>
      </c>
      <c r="U175">
        <v>17</v>
      </c>
      <c r="V175">
        <v>3.54</v>
      </c>
      <c r="W175">
        <v>0</v>
      </c>
      <c r="X175" s="1">
        <f>IF(OR(Table_0[[#This Row],[Table 0 (4).Fanduel Position]]="PG",Table_0[[#This Row],[Table 0 (4).Fanduel Position.2]]="PG"),Table_0[[#This Row],[IN]],"")</f>
        <v>0</v>
      </c>
      <c r="Y175" s="1" t="str">
        <f>IF(OR(Table_0[[#This Row],[Table 0 (4).Fanduel Position]]="SG",Table_0[[#This Row],[Table 0 (4).Fanduel Position.2]]="SG"),Table_0[[#This Row],[IN]],"")</f>
        <v/>
      </c>
      <c r="Z175" s="1" t="str">
        <f>IF(OR(Table_0[[#This Row],[Table 0 (4).Fanduel Position]]="SF",Table_0[[#This Row],[Table 0 (4).Fanduel Position.2]]="SF"),Table_0[[#This Row],[IN]],"")</f>
        <v/>
      </c>
      <c r="AA175" s="1" t="str">
        <f>IF(OR(Table_0[[#This Row],[Table 0 (4).Fanduel Position]]="PF",Table_0[[#This Row],[Table 0 (4).Fanduel Position.2]]="PF"),Table_0[[#This Row],[IN]],"")</f>
        <v/>
      </c>
      <c r="AB175" s="1" t="str">
        <f>IF(OR(Table_0[[#This Row],[Table 0 (4).Fanduel Position]]="C",Table_0[[#This Row],[Table 0 (4).Fanduel Position.2]]="C"),Table_0[[#This Row],[IN]],"")</f>
        <v/>
      </c>
      <c r="AC175" s="1"/>
      <c r="AL175" t="str">
        <f t="shared" si="2"/>
        <v/>
      </c>
    </row>
    <row r="176" spans="1:38" x14ac:dyDescent="0.3">
      <c r="A176" s="1" t="s">
        <v>273</v>
      </c>
      <c r="B176" s="1" t="s">
        <v>274</v>
      </c>
      <c r="C176" s="1" t="s">
        <v>257</v>
      </c>
      <c r="D176" s="1" t="s">
        <v>21</v>
      </c>
      <c r="E176" s="1"/>
      <c r="F176" s="3" t="s">
        <v>1262</v>
      </c>
      <c r="G176">
        <v>21.92</v>
      </c>
      <c r="H176" s="1" t="s">
        <v>1448</v>
      </c>
      <c r="I176" s="1" t="s">
        <v>1370</v>
      </c>
      <c r="J176">
        <v>0.79</v>
      </c>
      <c r="K176">
        <v>23</v>
      </c>
      <c r="L176">
        <v>3400</v>
      </c>
      <c r="M176">
        <v>19.05</v>
      </c>
      <c r="N176">
        <v>35.020000000000003</v>
      </c>
      <c r="O176" s="1">
        <v>4000</v>
      </c>
      <c r="P176" s="1" t="s">
        <v>21</v>
      </c>
      <c r="Q176" s="1"/>
      <c r="R176">
        <v>23</v>
      </c>
      <c r="S176">
        <v>-6</v>
      </c>
      <c r="T176">
        <v>213</v>
      </c>
      <c r="U176">
        <v>18.399999999999999</v>
      </c>
      <c r="V176">
        <v>4.59</v>
      </c>
      <c r="W176">
        <v>0</v>
      </c>
      <c r="X176" s="1">
        <f>IF(OR(Table_0[[#This Row],[Table 0 (4).Fanduel Position]]="PG",Table_0[[#This Row],[Table 0 (4).Fanduel Position.2]]="PG"),Table_0[[#This Row],[IN]],"")</f>
        <v>0</v>
      </c>
      <c r="Y176" s="1" t="str">
        <f>IF(OR(Table_0[[#This Row],[Table 0 (4).Fanduel Position]]="SG",Table_0[[#This Row],[Table 0 (4).Fanduel Position.2]]="SG"),Table_0[[#This Row],[IN]],"")</f>
        <v/>
      </c>
      <c r="Z176" s="1" t="str">
        <f>IF(OR(Table_0[[#This Row],[Table 0 (4).Fanduel Position]]="SF",Table_0[[#This Row],[Table 0 (4).Fanduel Position.2]]="SF"),Table_0[[#This Row],[IN]],"")</f>
        <v/>
      </c>
      <c r="AA176" s="1" t="str">
        <f>IF(OR(Table_0[[#This Row],[Table 0 (4).Fanduel Position]]="PF",Table_0[[#This Row],[Table 0 (4).Fanduel Position.2]]="PF"),Table_0[[#This Row],[IN]],"")</f>
        <v/>
      </c>
      <c r="AB176" s="1" t="str">
        <f>IF(OR(Table_0[[#This Row],[Table 0 (4).Fanduel Position]]="C",Table_0[[#This Row],[Table 0 (4).Fanduel Position.2]]="C"),Table_0[[#This Row],[IN]],"")</f>
        <v/>
      </c>
      <c r="AC176" s="1"/>
      <c r="AL176" t="str">
        <f t="shared" si="2"/>
        <v/>
      </c>
    </row>
    <row r="177" spans="1:38" x14ac:dyDescent="0.3">
      <c r="A177" s="1" t="s">
        <v>1599</v>
      </c>
      <c r="B177" s="1" t="s">
        <v>1600</v>
      </c>
      <c r="C177" s="1" t="s">
        <v>388</v>
      </c>
      <c r="D177" s="1" t="s">
        <v>18</v>
      </c>
      <c r="E177" s="1"/>
      <c r="F177" s="3" t="s">
        <v>17</v>
      </c>
      <c r="G177">
        <v>29.2</v>
      </c>
      <c r="H177" s="1" t="s">
        <v>1365</v>
      </c>
      <c r="I177" s="1" t="s">
        <v>1433</v>
      </c>
      <c r="J177">
        <v>1.1000000000000001</v>
      </c>
      <c r="K177">
        <v>0</v>
      </c>
      <c r="L177">
        <v>5500</v>
      </c>
      <c r="M177">
        <v>0</v>
      </c>
      <c r="N177">
        <v>0</v>
      </c>
      <c r="O177" s="1">
        <v>5600</v>
      </c>
      <c r="P177" s="1" t="s">
        <v>18</v>
      </c>
      <c r="Q177" s="1" t="s">
        <v>16</v>
      </c>
      <c r="R177">
        <v>2</v>
      </c>
      <c r="S177">
        <v>4</v>
      </c>
      <c r="T177">
        <v>231</v>
      </c>
      <c r="U177">
        <v>0</v>
      </c>
      <c r="V177">
        <v>0</v>
      </c>
      <c r="W177">
        <v>0</v>
      </c>
      <c r="X177" s="1" t="str">
        <f>IF(OR(Table_0[[#This Row],[Table 0 (4).Fanduel Position]]="PG",Table_0[[#This Row],[Table 0 (4).Fanduel Position.2]]="PG"),Table_0[[#This Row],[IN]],"")</f>
        <v/>
      </c>
      <c r="Y177" s="1" t="str">
        <f>IF(OR(Table_0[[#This Row],[Table 0 (4).Fanduel Position]]="SG",Table_0[[#This Row],[Table 0 (4).Fanduel Position.2]]="SG"),Table_0[[#This Row],[IN]],"")</f>
        <v/>
      </c>
      <c r="Z177" s="1" t="str">
        <f>IF(OR(Table_0[[#This Row],[Table 0 (4).Fanduel Position]]="SF",Table_0[[#This Row],[Table 0 (4).Fanduel Position.2]]="SF"),Table_0[[#This Row],[IN]],"")</f>
        <v/>
      </c>
      <c r="AA177" s="1">
        <f>IF(OR(Table_0[[#This Row],[Table 0 (4).Fanduel Position]]="PF",Table_0[[#This Row],[Table 0 (4).Fanduel Position.2]]="PF"),Table_0[[#This Row],[IN]],"")</f>
        <v>0</v>
      </c>
      <c r="AB177" s="1">
        <f>IF(OR(Table_0[[#This Row],[Table 0 (4).Fanduel Position]]="C",Table_0[[#This Row],[Table 0 (4).Fanduel Position.2]]="C"),Table_0[[#This Row],[IN]],"")</f>
        <v>0</v>
      </c>
      <c r="AC177" s="1"/>
      <c r="AL177" t="str">
        <f t="shared" si="2"/>
        <v/>
      </c>
    </row>
    <row r="178" spans="1:38" x14ac:dyDescent="0.3">
      <c r="A178" s="1" t="s">
        <v>1601</v>
      </c>
      <c r="B178" s="1" t="s">
        <v>1602</v>
      </c>
      <c r="C178" s="1" t="s">
        <v>428</v>
      </c>
      <c r="D178" s="1" t="s">
        <v>21</v>
      </c>
      <c r="E178" s="1"/>
      <c r="F178" s="3" t="s">
        <v>17</v>
      </c>
      <c r="G178">
        <v>26.04</v>
      </c>
      <c r="H178" s="1" t="s">
        <v>1603</v>
      </c>
      <c r="I178" s="1" t="s">
        <v>1252</v>
      </c>
      <c r="J178">
        <v>1.1200000000000001</v>
      </c>
      <c r="K178">
        <v>0</v>
      </c>
      <c r="L178">
        <v>3000</v>
      </c>
      <c r="M178">
        <v>0</v>
      </c>
      <c r="N178">
        <v>0</v>
      </c>
      <c r="O178" s="1">
        <v>3500</v>
      </c>
      <c r="P178" s="1" t="s">
        <v>21</v>
      </c>
      <c r="Q178" s="1"/>
      <c r="R178">
        <v>15</v>
      </c>
      <c r="S178">
        <v>5.5</v>
      </c>
      <c r="T178">
        <v>222.5</v>
      </c>
      <c r="U178">
        <v>0</v>
      </c>
      <c r="V178">
        <v>0</v>
      </c>
      <c r="W178">
        <v>0</v>
      </c>
      <c r="X178" s="1">
        <f>IF(OR(Table_0[[#This Row],[Table 0 (4).Fanduel Position]]="PG",Table_0[[#This Row],[Table 0 (4).Fanduel Position.2]]="PG"),Table_0[[#This Row],[IN]],"")</f>
        <v>0</v>
      </c>
      <c r="Y178" s="1" t="str">
        <f>IF(OR(Table_0[[#This Row],[Table 0 (4).Fanduel Position]]="SG",Table_0[[#This Row],[Table 0 (4).Fanduel Position.2]]="SG"),Table_0[[#This Row],[IN]],"")</f>
        <v/>
      </c>
      <c r="Z178" s="1" t="str">
        <f>IF(OR(Table_0[[#This Row],[Table 0 (4).Fanduel Position]]="SF",Table_0[[#This Row],[Table 0 (4).Fanduel Position.2]]="SF"),Table_0[[#This Row],[IN]],"")</f>
        <v/>
      </c>
      <c r="AA178" s="1" t="str">
        <f>IF(OR(Table_0[[#This Row],[Table 0 (4).Fanduel Position]]="PF",Table_0[[#This Row],[Table 0 (4).Fanduel Position.2]]="PF"),Table_0[[#This Row],[IN]],"")</f>
        <v/>
      </c>
      <c r="AB178" s="1" t="str">
        <f>IF(OR(Table_0[[#This Row],[Table 0 (4).Fanduel Position]]="C",Table_0[[#This Row],[Table 0 (4).Fanduel Position.2]]="C"),Table_0[[#This Row],[IN]],"")</f>
        <v/>
      </c>
      <c r="AC178" s="1"/>
      <c r="AL178" t="str">
        <f t="shared" si="2"/>
        <v/>
      </c>
    </row>
    <row r="179" spans="1:38" x14ac:dyDescent="0.3">
      <c r="A179" s="1" t="s">
        <v>863</v>
      </c>
      <c r="B179" s="1" t="s">
        <v>864</v>
      </c>
      <c r="C179" s="1" t="s">
        <v>396</v>
      </c>
      <c r="D179" s="1" t="s">
        <v>14</v>
      </c>
      <c r="E179" s="1"/>
      <c r="F179" s="3" t="s">
        <v>1331</v>
      </c>
      <c r="G179">
        <v>34.86</v>
      </c>
      <c r="H179" s="1" t="s">
        <v>1604</v>
      </c>
      <c r="I179" s="1" t="s">
        <v>1561</v>
      </c>
      <c r="J179">
        <v>0.91</v>
      </c>
      <c r="K179">
        <v>29</v>
      </c>
      <c r="L179">
        <v>6600</v>
      </c>
      <c r="M179">
        <v>30.94</v>
      </c>
      <c r="N179">
        <v>29.3</v>
      </c>
      <c r="O179" s="1">
        <v>6200</v>
      </c>
      <c r="P179" s="1" t="s">
        <v>14</v>
      </c>
      <c r="Q179" s="1" t="s">
        <v>13</v>
      </c>
      <c r="R179">
        <v>17</v>
      </c>
      <c r="S179">
        <v>2.5</v>
      </c>
      <c r="T179">
        <v>204.5</v>
      </c>
      <c r="U179">
        <v>27.5</v>
      </c>
      <c r="V179">
        <v>4.43</v>
      </c>
      <c r="W179">
        <v>0</v>
      </c>
      <c r="X179" s="1" t="str">
        <f>IF(OR(Table_0[[#This Row],[Table 0 (4).Fanduel Position]]="PG",Table_0[[#This Row],[Table 0 (4).Fanduel Position.2]]="PG"),Table_0[[#This Row],[IN]],"")</f>
        <v/>
      </c>
      <c r="Y179" s="1">
        <f>IF(OR(Table_0[[#This Row],[Table 0 (4).Fanduel Position]]="SG",Table_0[[#This Row],[Table 0 (4).Fanduel Position.2]]="SG"),Table_0[[#This Row],[IN]],"")</f>
        <v>0</v>
      </c>
      <c r="Z179" s="1">
        <f>IF(OR(Table_0[[#This Row],[Table 0 (4).Fanduel Position]]="SF",Table_0[[#This Row],[Table 0 (4).Fanduel Position.2]]="SF"),Table_0[[#This Row],[IN]],"")</f>
        <v>0</v>
      </c>
      <c r="AA179" s="1" t="str">
        <f>IF(OR(Table_0[[#This Row],[Table 0 (4).Fanduel Position]]="PF",Table_0[[#This Row],[Table 0 (4).Fanduel Position.2]]="PF"),Table_0[[#This Row],[IN]],"")</f>
        <v/>
      </c>
      <c r="AB179" s="1" t="str">
        <f>IF(OR(Table_0[[#This Row],[Table 0 (4).Fanduel Position]]="C",Table_0[[#This Row],[Table 0 (4).Fanduel Position.2]]="C"),Table_0[[#This Row],[IN]],"")</f>
        <v/>
      </c>
      <c r="AC179" s="1"/>
      <c r="AL179" t="str">
        <f t="shared" si="2"/>
        <v/>
      </c>
    </row>
    <row r="180" spans="1:38" x14ac:dyDescent="0.3">
      <c r="A180" s="1" t="s">
        <v>863</v>
      </c>
      <c r="B180" s="1" t="s">
        <v>1605</v>
      </c>
      <c r="C180" s="1" t="s">
        <v>428</v>
      </c>
      <c r="D180" s="1" t="s">
        <v>21</v>
      </c>
      <c r="E180" s="1"/>
      <c r="F180" s="3" t="s">
        <v>17</v>
      </c>
      <c r="G180">
        <v>0</v>
      </c>
      <c r="H180" s="1" t="s">
        <v>22</v>
      </c>
      <c r="I180" s="1" t="s">
        <v>1606</v>
      </c>
      <c r="J180">
        <v>0.85</v>
      </c>
      <c r="K180">
        <v>0</v>
      </c>
      <c r="L180">
        <v>3000</v>
      </c>
      <c r="M180">
        <v>0</v>
      </c>
      <c r="N180">
        <v>0</v>
      </c>
      <c r="O180" s="1">
        <v>3500</v>
      </c>
      <c r="P180" s="1"/>
      <c r="Q180" s="1"/>
      <c r="W180">
        <v>0</v>
      </c>
      <c r="X180" s="1" t="str">
        <f>IF(OR(Table_0[[#This Row],[Table 0 (4).Fanduel Position]]="PG",Table_0[[#This Row],[Table 0 (4).Fanduel Position.2]]="PG"),Table_0[[#This Row],[IN]],"")</f>
        <v/>
      </c>
      <c r="Y180" s="1" t="str">
        <f>IF(OR(Table_0[[#This Row],[Table 0 (4).Fanduel Position]]="SG",Table_0[[#This Row],[Table 0 (4).Fanduel Position.2]]="SG"),Table_0[[#This Row],[IN]],"")</f>
        <v/>
      </c>
      <c r="Z180" s="1" t="str">
        <f>IF(OR(Table_0[[#This Row],[Table 0 (4).Fanduel Position]]="SF",Table_0[[#This Row],[Table 0 (4).Fanduel Position.2]]="SF"),Table_0[[#This Row],[IN]],"")</f>
        <v/>
      </c>
      <c r="AA180" s="1" t="str">
        <f>IF(OR(Table_0[[#This Row],[Table 0 (4).Fanduel Position]]="PF",Table_0[[#This Row],[Table 0 (4).Fanduel Position.2]]="PF"),Table_0[[#This Row],[IN]],"")</f>
        <v/>
      </c>
      <c r="AB180" s="1" t="str">
        <f>IF(OR(Table_0[[#This Row],[Table 0 (4).Fanduel Position]]="C",Table_0[[#This Row],[Table 0 (4).Fanduel Position.2]]="C"),Table_0[[#This Row],[IN]],"")</f>
        <v/>
      </c>
      <c r="AC180" s="1"/>
      <c r="AL180" t="str">
        <f t="shared" si="2"/>
        <v/>
      </c>
    </row>
    <row r="181" spans="1:38" x14ac:dyDescent="0.3">
      <c r="A181" s="1" t="s">
        <v>1607</v>
      </c>
      <c r="B181" s="1" t="s">
        <v>1608</v>
      </c>
      <c r="C181" s="1" t="s">
        <v>385</v>
      </c>
      <c r="D181" s="1" t="s">
        <v>18</v>
      </c>
      <c r="E181" s="1"/>
      <c r="F181" s="3" t="s">
        <v>1331</v>
      </c>
      <c r="G181">
        <v>18.940000000000001</v>
      </c>
      <c r="H181" s="1" t="s">
        <v>1604</v>
      </c>
      <c r="I181" s="1" t="s">
        <v>1513</v>
      </c>
      <c r="J181">
        <v>1.02</v>
      </c>
      <c r="K181">
        <v>29</v>
      </c>
      <c r="L181">
        <v>7300</v>
      </c>
      <c r="M181">
        <v>36.409999999999997</v>
      </c>
      <c r="N181">
        <v>31.17</v>
      </c>
      <c r="O181" s="1">
        <v>7600</v>
      </c>
      <c r="P181" s="1"/>
      <c r="Q181" s="1"/>
      <c r="W181">
        <v>0</v>
      </c>
      <c r="X181" s="1" t="str">
        <f>IF(OR(Table_0[[#This Row],[Table 0 (4).Fanduel Position]]="PG",Table_0[[#This Row],[Table 0 (4).Fanduel Position.2]]="PG"),Table_0[[#This Row],[IN]],"")</f>
        <v/>
      </c>
      <c r="Y181" s="1" t="str">
        <f>IF(OR(Table_0[[#This Row],[Table 0 (4).Fanduel Position]]="SG",Table_0[[#This Row],[Table 0 (4).Fanduel Position.2]]="SG"),Table_0[[#This Row],[IN]],"")</f>
        <v/>
      </c>
      <c r="Z181" s="1" t="str">
        <f>IF(OR(Table_0[[#This Row],[Table 0 (4).Fanduel Position]]="SF",Table_0[[#This Row],[Table 0 (4).Fanduel Position.2]]="SF"),Table_0[[#This Row],[IN]],"")</f>
        <v/>
      </c>
      <c r="AA181" s="1" t="str">
        <f>IF(OR(Table_0[[#This Row],[Table 0 (4).Fanduel Position]]="PF",Table_0[[#This Row],[Table 0 (4).Fanduel Position.2]]="PF"),Table_0[[#This Row],[IN]],"")</f>
        <v/>
      </c>
      <c r="AB181" s="1" t="str">
        <f>IF(OR(Table_0[[#This Row],[Table 0 (4).Fanduel Position]]="C",Table_0[[#This Row],[Table 0 (4).Fanduel Position.2]]="C"),Table_0[[#This Row],[IN]],"")</f>
        <v/>
      </c>
      <c r="AC181" s="1"/>
      <c r="AL181" t="str">
        <f t="shared" si="2"/>
        <v/>
      </c>
    </row>
    <row r="182" spans="1:38" x14ac:dyDescent="0.3">
      <c r="A182" s="1" t="s">
        <v>1607</v>
      </c>
      <c r="B182" s="1" t="s">
        <v>1609</v>
      </c>
      <c r="C182" s="1" t="s">
        <v>388</v>
      </c>
      <c r="D182" s="1" t="s">
        <v>13</v>
      </c>
      <c r="E182" s="1" t="s">
        <v>14</v>
      </c>
      <c r="F182" s="3" t="s">
        <v>17</v>
      </c>
      <c r="G182">
        <v>3.46</v>
      </c>
      <c r="H182" s="1" t="s">
        <v>1610</v>
      </c>
      <c r="I182" s="1" t="s">
        <v>29</v>
      </c>
      <c r="J182">
        <v>0.54</v>
      </c>
      <c r="K182">
        <v>0</v>
      </c>
      <c r="L182">
        <v>3000</v>
      </c>
      <c r="M182">
        <v>0</v>
      </c>
      <c r="N182">
        <v>0</v>
      </c>
      <c r="O182" s="1">
        <v>3500</v>
      </c>
      <c r="P182" s="1"/>
      <c r="Q182" s="1"/>
      <c r="W182">
        <v>0</v>
      </c>
      <c r="X182" s="1" t="str">
        <f>IF(OR(Table_0[[#This Row],[Table 0 (4).Fanduel Position]]="PG",Table_0[[#This Row],[Table 0 (4).Fanduel Position.2]]="PG"),Table_0[[#This Row],[IN]],"")</f>
        <v/>
      </c>
      <c r="Y182" s="1" t="str">
        <f>IF(OR(Table_0[[#This Row],[Table 0 (4).Fanduel Position]]="SG",Table_0[[#This Row],[Table 0 (4).Fanduel Position.2]]="SG"),Table_0[[#This Row],[IN]],"")</f>
        <v/>
      </c>
      <c r="Z182" s="1" t="str">
        <f>IF(OR(Table_0[[#This Row],[Table 0 (4).Fanduel Position]]="SF",Table_0[[#This Row],[Table 0 (4).Fanduel Position.2]]="SF"),Table_0[[#This Row],[IN]],"")</f>
        <v/>
      </c>
      <c r="AA182" s="1" t="str">
        <f>IF(OR(Table_0[[#This Row],[Table 0 (4).Fanduel Position]]="PF",Table_0[[#This Row],[Table 0 (4).Fanduel Position.2]]="PF"),Table_0[[#This Row],[IN]],"")</f>
        <v/>
      </c>
      <c r="AB182" s="1" t="str">
        <f>IF(OR(Table_0[[#This Row],[Table 0 (4).Fanduel Position]]="C",Table_0[[#This Row],[Table 0 (4).Fanduel Position.2]]="C"),Table_0[[#This Row],[IN]],"")</f>
        <v/>
      </c>
      <c r="AC182" s="1"/>
      <c r="AL182" t="str">
        <f t="shared" si="2"/>
        <v/>
      </c>
    </row>
    <row r="183" spans="1:38" x14ac:dyDescent="0.3">
      <c r="A183" s="1" t="s">
        <v>1611</v>
      </c>
      <c r="B183" s="1" t="s">
        <v>1612</v>
      </c>
      <c r="C183" s="1" t="s">
        <v>385</v>
      </c>
      <c r="D183" s="1" t="s">
        <v>14</v>
      </c>
      <c r="E183" s="1"/>
      <c r="F183" s="3" t="s">
        <v>1613</v>
      </c>
      <c r="G183">
        <v>14.89</v>
      </c>
      <c r="H183" s="1" t="s">
        <v>1614</v>
      </c>
      <c r="I183" s="1" t="s">
        <v>1384</v>
      </c>
      <c r="J183">
        <v>0.68</v>
      </c>
      <c r="K183">
        <v>7</v>
      </c>
      <c r="L183">
        <v>3100</v>
      </c>
      <c r="M183">
        <v>10.199999999999999</v>
      </c>
      <c r="N183">
        <v>20.56</v>
      </c>
      <c r="O183" s="1">
        <v>3500</v>
      </c>
      <c r="P183" s="1"/>
      <c r="Q183" s="1"/>
      <c r="W183">
        <v>0</v>
      </c>
      <c r="X183" s="1" t="str">
        <f>IF(OR(Table_0[[#This Row],[Table 0 (4).Fanduel Position]]="PG",Table_0[[#This Row],[Table 0 (4).Fanduel Position.2]]="PG"),Table_0[[#This Row],[IN]],"")</f>
        <v/>
      </c>
      <c r="Y183" s="1" t="str">
        <f>IF(OR(Table_0[[#This Row],[Table 0 (4).Fanduel Position]]="SG",Table_0[[#This Row],[Table 0 (4).Fanduel Position.2]]="SG"),Table_0[[#This Row],[IN]],"")</f>
        <v/>
      </c>
      <c r="Z183" s="1" t="str">
        <f>IF(OR(Table_0[[#This Row],[Table 0 (4).Fanduel Position]]="SF",Table_0[[#This Row],[Table 0 (4).Fanduel Position.2]]="SF"),Table_0[[#This Row],[IN]],"")</f>
        <v/>
      </c>
      <c r="AA183" s="1" t="str">
        <f>IF(OR(Table_0[[#This Row],[Table 0 (4).Fanduel Position]]="PF",Table_0[[#This Row],[Table 0 (4).Fanduel Position.2]]="PF"),Table_0[[#This Row],[IN]],"")</f>
        <v/>
      </c>
      <c r="AB183" s="1" t="str">
        <f>IF(OR(Table_0[[#This Row],[Table 0 (4).Fanduel Position]]="C",Table_0[[#This Row],[Table 0 (4).Fanduel Position.2]]="C"),Table_0[[#This Row],[IN]],"")</f>
        <v/>
      </c>
      <c r="AC183" s="1"/>
      <c r="AL183" t="str">
        <f t="shared" si="2"/>
        <v/>
      </c>
    </row>
    <row r="184" spans="1:38" x14ac:dyDescent="0.3">
      <c r="A184" s="1" t="s">
        <v>1615</v>
      </c>
      <c r="B184" s="1" t="s">
        <v>950</v>
      </c>
      <c r="C184" s="1" t="s">
        <v>427</v>
      </c>
      <c r="D184" s="1" t="s">
        <v>16</v>
      </c>
      <c r="E184" s="1"/>
      <c r="F184" s="3" t="s">
        <v>1345</v>
      </c>
      <c r="G184">
        <v>31.55</v>
      </c>
      <c r="H184" s="1" t="s">
        <v>1456</v>
      </c>
      <c r="I184" s="1" t="s">
        <v>1513</v>
      </c>
      <c r="J184">
        <v>0.7</v>
      </c>
      <c r="K184">
        <v>30</v>
      </c>
      <c r="L184">
        <v>4400</v>
      </c>
      <c r="M184">
        <v>22.56</v>
      </c>
      <c r="N184">
        <v>32.049999999999997</v>
      </c>
      <c r="O184" s="1">
        <v>5500</v>
      </c>
      <c r="P184" s="1" t="s">
        <v>14</v>
      </c>
      <c r="Q184" s="1" t="s">
        <v>16</v>
      </c>
      <c r="R184">
        <v>23</v>
      </c>
      <c r="S184">
        <v>-5.5</v>
      </c>
      <c r="T184">
        <v>222.5</v>
      </c>
      <c r="U184">
        <v>20.6</v>
      </c>
      <c r="V184">
        <v>3.74</v>
      </c>
      <c r="W184">
        <v>0</v>
      </c>
      <c r="X184" s="1" t="str">
        <f>IF(OR(Table_0[[#This Row],[Table 0 (4).Fanduel Position]]="PG",Table_0[[#This Row],[Table 0 (4).Fanduel Position.2]]="PG"),Table_0[[#This Row],[IN]],"")</f>
        <v/>
      </c>
      <c r="Y184" s="1" t="str">
        <f>IF(OR(Table_0[[#This Row],[Table 0 (4).Fanduel Position]]="SG",Table_0[[#This Row],[Table 0 (4).Fanduel Position.2]]="SG"),Table_0[[#This Row],[IN]],"")</f>
        <v/>
      </c>
      <c r="Z184" s="1">
        <f>IF(OR(Table_0[[#This Row],[Table 0 (4).Fanduel Position]]="SF",Table_0[[#This Row],[Table 0 (4).Fanduel Position.2]]="SF"),Table_0[[#This Row],[IN]],"")</f>
        <v>0</v>
      </c>
      <c r="AA184" s="1">
        <f>IF(OR(Table_0[[#This Row],[Table 0 (4).Fanduel Position]]="PF",Table_0[[#This Row],[Table 0 (4).Fanduel Position.2]]="PF"),Table_0[[#This Row],[IN]],"")</f>
        <v>0</v>
      </c>
      <c r="AB184" s="1" t="str">
        <f>IF(OR(Table_0[[#This Row],[Table 0 (4).Fanduel Position]]="C",Table_0[[#This Row],[Table 0 (4).Fanduel Position.2]]="C"),Table_0[[#This Row],[IN]],"")</f>
        <v/>
      </c>
      <c r="AC184" s="1"/>
      <c r="AL184" t="str">
        <f t="shared" si="2"/>
        <v/>
      </c>
    </row>
    <row r="185" spans="1:38" x14ac:dyDescent="0.3">
      <c r="A185" s="1" t="s">
        <v>1185</v>
      </c>
      <c r="B185" s="1" t="s">
        <v>1616</v>
      </c>
      <c r="C185" s="1" t="s">
        <v>427</v>
      </c>
      <c r="D185" s="1" t="s">
        <v>14</v>
      </c>
      <c r="E185" s="1" t="s">
        <v>16</v>
      </c>
      <c r="F185" s="3" t="s">
        <v>17</v>
      </c>
      <c r="G185">
        <v>21.54</v>
      </c>
      <c r="H185" s="1" t="s">
        <v>1617</v>
      </c>
      <c r="I185" s="1" t="s">
        <v>1419</v>
      </c>
      <c r="J185">
        <v>0.97</v>
      </c>
      <c r="K185">
        <v>0</v>
      </c>
      <c r="L185">
        <v>4300</v>
      </c>
      <c r="M185">
        <v>0</v>
      </c>
      <c r="N185">
        <v>0</v>
      </c>
      <c r="O185" s="1">
        <v>5300</v>
      </c>
      <c r="P185" s="1" t="s">
        <v>16</v>
      </c>
      <c r="Q185" s="1" t="s">
        <v>14</v>
      </c>
      <c r="R185">
        <v>6</v>
      </c>
      <c r="S185">
        <v>-5.5</v>
      </c>
      <c r="T185">
        <v>222.5</v>
      </c>
      <c r="U185">
        <v>0</v>
      </c>
      <c r="V185">
        <v>0</v>
      </c>
      <c r="W185">
        <v>0</v>
      </c>
      <c r="X185" s="1" t="str">
        <f>IF(OR(Table_0[[#This Row],[Table 0 (4).Fanduel Position]]="PG",Table_0[[#This Row],[Table 0 (4).Fanduel Position.2]]="PG"),Table_0[[#This Row],[IN]],"")</f>
        <v/>
      </c>
      <c r="Y185" s="1" t="str">
        <f>IF(OR(Table_0[[#This Row],[Table 0 (4).Fanduel Position]]="SG",Table_0[[#This Row],[Table 0 (4).Fanduel Position.2]]="SG"),Table_0[[#This Row],[IN]],"")</f>
        <v/>
      </c>
      <c r="Z185" s="1">
        <f>IF(OR(Table_0[[#This Row],[Table 0 (4).Fanduel Position]]="SF",Table_0[[#This Row],[Table 0 (4).Fanduel Position.2]]="SF"),Table_0[[#This Row],[IN]],"")</f>
        <v>0</v>
      </c>
      <c r="AA185" s="1">
        <f>IF(OR(Table_0[[#This Row],[Table 0 (4).Fanduel Position]]="PF",Table_0[[#This Row],[Table 0 (4).Fanduel Position.2]]="PF"),Table_0[[#This Row],[IN]],"")</f>
        <v>0</v>
      </c>
      <c r="AB185" s="1" t="str">
        <f>IF(OR(Table_0[[#This Row],[Table 0 (4).Fanduel Position]]="C",Table_0[[#This Row],[Table 0 (4).Fanduel Position.2]]="C"),Table_0[[#This Row],[IN]],"")</f>
        <v/>
      </c>
      <c r="AC185" s="1"/>
      <c r="AL185" t="str">
        <f t="shared" si="2"/>
        <v/>
      </c>
    </row>
    <row r="186" spans="1:38" x14ac:dyDescent="0.3">
      <c r="A186" s="1" t="s">
        <v>1185</v>
      </c>
      <c r="B186" s="1" t="s">
        <v>1618</v>
      </c>
      <c r="C186" s="1" t="s">
        <v>427</v>
      </c>
      <c r="D186" s="1" t="s">
        <v>18</v>
      </c>
      <c r="E186" s="1"/>
      <c r="F186" s="3" t="s">
        <v>17</v>
      </c>
      <c r="G186">
        <v>30.79</v>
      </c>
      <c r="H186" s="1" t="s">
        <v>1619</v>
      </c>
      <c r="I186" s="1" t="s">
        <v>1620</v>
      </c>
      <c r="J186">
        <v>1.36</v>
      </c>
      <c r="K186">
        <v>0</v>
      </c>
      <c r="L186">
        <v>8200</v>
      </c>
      <c r="M186">
        <v>0</v>
      </c>
      <c r="N186">
        <v>0</v>
      </c>
      <c r="O186" s="1">
        <v>8800</v>
      </c>
      <c r="P186" s="1" t="s">
        <v>18</v>
      </c>
      <c r="Q186" s="1"/>
      <c r="R186">
        <v>20</v>
      </c>
      <c r="S186">
        <v>-5.5</v>
      </c>
      <c r="T186">
        <v>222.5</v>
      </c>
      <c r="U186">
        <v>0</v>
      </c>
      <c r="V186">
        <v>0</v>
      </c>
      <c r="W186">
        <v>0</v>
      </c>
      <c r="X186" s="1" t="str">
        <f>IF(OR(Table_0[[#This Row],[Table 0 (4).Fanduel Position]]="PG",Table_0[[#This Row],[Table 0 (4).Fanduel Position.2]]="PG"),Table_0[[#This Row],[IN]],"")</f>
        <v/>
      </c>
      <c r="Y186" s="1" t="str">
        <f>IF(OR(Table_0[[#This Row],[Table 0 (4).Fanduel Position]]="SG",Table_0[[#This Row],[Table 0 (4).Fanduel Position.2]]="SG"),Table_0[[#This Row],[IN]],"")</f>
        <v/>
      </c>
      <c r="Z186" s="1" t="str">
        <f>IF(OR(Table_0[[#This Row],[Table 0 (4).Fanduel Position]]="SF",Table_0[[#This Row],[Table 0 (4).Fanduel Position.2]]="SF"),Table_0[[#This Row],[IN]],"")</f>
        <v/>
      </c>
      <c r="AA186" s="1" t="str">
        <f>IF(OR(Table_0[[#This Row],[Table 0 (4).Fanduel Position]]="PF",Table_0[[#This Row],[Table 0 (4).Fanduel Position.2]]="PF"),Table_0[[#This Row],[IN]],"")</f>
        <v/>
      </c>
      <c r="AB186" s="1">
        <f>IF(OR(Table_0[[#This Row],[Table 0 (4).Fanduel Position]]="C",Table_0[[#This Row],[Table 0 (4).Fanduel Position.2]]="C"),Table_0[[#This Row],[IN]],"")</f>
        <v>0</v>
      </c>
      <c r="AC186" s="1"/>
      <c r="AL186" t="str">
        <f t="shared" si="2"/>
        <v/>
      </c>
    </row>
    <row r="187" spans="1:38" x14ac:dyDescent="0.3">
      <c r="A187" s="1" t="s">
        <v>279</v>
      </c>
      <c r="B187" s="1" t="s">
        <v>280</v>
      </c>
      <c r="C187" s="1" t="s">
        <v>257</v>
      </c>
      <c r="D187" s="1" t="s">
        <v>16</v>
      </c>
      <c r="E187" s="1" t="s">
        <v>18</v>
      </c>
      <c r="F187" s="3" t="s">
        <v>1407</v>
      </c>
      <c r="G187">
        <v>31.53</v>
      </c>
      <c r="H187" s="1" t="s">
        <v>1463</v>
      </c>
      <c r="I187" s="1" t="s">
        <v>1261</v>
      </c>
      <c r="J187">
        <v>0.76</v>
      </c>
      <c r="K187">
        <v>16</v>
      </c>
      <c r="L187">
        <v>4000</v>
      </c>
      <c r="M187">
        <v>18.37</v>
      </c>
      <c r="N187">
        <v>28.7</v>
      </c>
      <c r="O187" s="1">
        <v>5200</v>
      </c>
      <c r="P187" s="1" t="s">
        <v>14</v>
      </c>
      <c r="Q187" s="1" t="s">
        <v>16</v>
      </c>
      <c r="R187">
        <v>17</v>
      </c>
      <c r="S187">
        <v>-6</v>
      </c>
      <c r="T187">
        <v>213</v>
      </c>
      <c r="U187">
        <v>12.8</v>
      </c>
      <c r="V187">
        <v>2.46</v>
      </c>
      <c r="W187">
        <v>0</v>
      </c>
      <c r="X187" s="1" t="str">
        <f>IF(OR(Table_0[[#This Row],[Table 0 (4).Fanduel Position]]="PG",Table_0[[#This Row],[Table 0 (4).Fanduel Position.2]]="PG"),Table_0[[#This Row],[IN]],"")</f>
        <v/>
      </c>
      <c r="Y187" s="1" t="str">
        <f>IF(OR(Table_0[[#This Row],[Table 0 (4).Fanduel Position]]="SG",Table_0[[#This Row],[Table 0 (4).Fanduel Position.2]]="SG"),Table_0[[#This Row],[IN]],"")</f>
        <v/>
      </c>
      <c r="Z187" s="1">
        <f>IF(OR(Table_0[[#This Row],[Table 0 (4).Fanduel Position]]="SF",Table_0[[#This Row],[Table 0 (4).Fanduel Position.2]]="SF"),Table_0[[#This Row],[IN]],"")</f>
        <v>0</v>
      </c>
      <c r="AA187" s="1">
        <f>IF(OR(Table_0[[#This Row],[Table 0 (4).Fanduel Position]]="PF",Table_0[[#This Row],[Table 0 (4).Fanduel Position.2]]="PF"),Table_0[[#This Row],[IN]],"")</f>
        <v>0</v>
      </c>
      <c r="AB187" s="1" t="str">
        <f>IF(OR(Table_0[[#This Row],[Table 0 (4).Fanduel Position]]="C",Table_0[[#This Row],[Table 0 (4).Fanduel Position.2]]="C"),Table_0[[#This Row],[IN]],"")</f>
        <v/>
      </c>
      <c r="AC187" s="1"/>
      <c r="AL187" t="str">
        <f t="shared" si="2"/>
        <v/>
      </c>
    </row>
    <row r="188" spans="1:38" x14ac:dyDescent="0.3">
      <c r="A188" s="1" t="s">
        <v>856</v>
      </c>
      <c r="B188" s="1" t="s">
        <v>247</v>
      </c>
      <c r="C188" s="1" t="s">
        <v>381</v>
      </c>
      <c r="D188" s="1" t="s">
        <v>13</v>
      </c>
      <c r="E188" s="1"/>
      <c r="F188" s="3" t="s">
        <v>1621</v>
      </c>
      <c r="G188">
        <v>28.74</v>
      </c>
      <c r="H188" s="1" t="s">
        <v>1301</v>
      </c>
      <c r="I188" s="1" t="s">
        <v>1620</v>
      </c>
      <c r="J188">
        <v>0.84</v>
      </c>
      <c r="K188">
        <v>36</v>
      </c>
      <c r="L188">
        <v>6400</v>
      </c>
      <c r="M188">
        <v>33.92</v>
      </c>
      <c r="N188">
        <v>33.130000000000003</v>
      </c>
      <c r="O188" s="1">
        <v>6700</v>
      </c>
      <c r="P188" s="1" t="s">
        <v>21</v>
      </c>
      <c r="Q188" s="1" t="s">
        <v>13</v>
      </c>
      <c r="R188">
        <v>8</v>
      </c>
      <c r="S188">
        <v>-5.5</v>
      </c>
      <c r="T188">
        <v>225</v>
      </c>
      <c r="U188">
        <v>28.1</v>
      </c>
      <c r="V188">
        <v>4.2</v>
      </c>
      <c r="W188">
        <v>0</v>
      </c>
      <c r="X188" s="1">
        <f>IF(OR(Table_0[[#This Row],[Table 0 (4).Fanduel Position]]="PG",Table_0[[#This Row],[Table 0 (4).Fanduel Position.2]]="PG"),Table_0[[#This Row],[IN]],"")</f>
        <v>0</v>
      </c>
      <c r="Y188" s="1">
        <f>IF(OR(Table_0[[#This Row],[Table 0 (4).Fanduel Position]]="SG",Table_0[[#This Row],[Table 0 (4).Fanduel Position.2]]="SG"),Table_0[[#This Row],[IN]],"")</f>
        <v>0</v>
      </c>
      <c r="Z188" s="1" t="str">
        <f>IF(OR(Table_0[[#This Row],[Table 0 (4).Fanduel Position]]="SF",Table_0[[#This Row],[Table 0 (4).Fanduel Position.2]]="SF"),Table_0[[#This Row],[IN]],"")</f>
        <v/>
      </c>
      <c r="AA188" s="1" t="str">
        <f>IF(OR(Table_0[[#This Row],[Table 0 (4).Fanduel Position]]="PF",Table_0[[#This Row],[Table 0 (4).Fanduel Position.2]]="PF"),Table_0[[#This Row],[IN]],"")</f>
        <v/>
      </c>
      <c r="AB188" s="1" t="str">
        <f>IF(OR(Table_0[[#This Row],[Table 0 (4).Fanduel Position]]="C",Table_0[[#This Row],[Table 0 (4).Fanduel Position.2]]="C"),Table_0[[#This Row],[IN]],"")</f>
        <v/>
      </c>
      <c r="AC188" s="1"/>
      <c r="AL188" t="str">
        <f t="shared" si="2"/>
        <v/>
      </c>
    </row>
    <row r="189" spans="1:38" x14ac:dyDescent="0.3">
      <c r="A189" s="1" t="s">
        <v>1622</v>
      </c>
      <c r="B189" s="1" t="s">
        <v>1623</v>
      </c>
      <c r="C189" s="1" t="s">
        <v>381</v>
      </c>
      <c r="D189" s="1" t="s">
        <v>21</v>
      </c>
      <c r="E189" s="1" t="s">
        <v>13</v>
      </c>
      <c r="F189" s="3" t="s">
        <v>17</v>
      </c>
      <c r="G189">
        <v>23.17</v>
      </c>
      <c r="H189" s="1" t="s">
        <v>1332</v>
      </c>
      <c r="I189" s="1" t="s">
        <v>1419</v>
      </c>
      <c r="J189">
        <v>0.84</v>
      </c>
      <c r="K189">
        <v>0</v>
      </c>
      <c r="L189">
        <v>4200</v>
      </c>
      <c r="M189">
        <v>0</v>
      </c>
      <c r="N189">
        <v>0</v>
      </c>
      <c r="O189" s="1">
        <v>3900</v>
      </c>
      <c r="P189" s="1" t="s">
        <v>21</v>
      </c>
      <c r="Q189" s="1" t="s">
        <v>13</v>
      </c>
      <c r="R189">
        <v>14</v>
      </c>
      <c r="S189">
        <v>-5.5</v>
      </c>
      <c r="T189">
        <v>225</v>
      </c>
      <c r="U189">
        <v>0</v>
      </c>
      <c r="V189">
        <v>0</v>
      </c>
      <c r="W189">
        <v>0</v>
      </c>
      <c r="X189" s="1">
        <f>IF(OR(Table_0[[#This Row],[Table 0 (4).Fanduel Position]]="PG",Table_0[[#This Row],[Table 0 (4).Fanduel Position.2]]="PG"),Table_0[[#This Row],[IN]],"")</f>
        <v>0</v>
      </c>
      <c r="Y189" s="1">
        <f>IF(OR(Table_0[[#This Row],[Table 0 (4).Fanduel Position]]="SG",Table_0[[#This Row],[Table 0 (4).Fanduel Position.2]]="SG"),Table_0[[#This Row],[IN]],"")</f>
        <v>0</v>
      </c>
      <c r="Z189" s="1" t="str">
        <f>IF(OR(Table_0[[#This Row],[Table 0 (4).Fanduel Position]]="SF",Table_0[[#This Row],[Table 0 (4).Fanduel Position.2]]="SF"),Table_0[[#This Row],[IN]],"")</f>
        <v/>
      </c>
      <c r="AA189" s="1" t="str">
        <f>IF(OR(Table_0[[#This Row],[Table 0 (4).Fanduel Position]]="PF",Table_0[[#This Row],[Table 0 (4).Fanduel Position.2]]="PF"),Table_0[[#This Row],[IN]],"")</f>
        <v/>
      </c>
      <c r="AB189" s="1" t="str">
        <f>IF(OR(Table_0[[#This Row],[Table 0 (4).Fanduel Position]]="C",Table_0[[#This Row],[Table 0 (4).Fanduel Position.2]]="C"),Table_0[[#This Row],[IN]],"")</f>
        <v/>
      </c>
      <c r="AC189" s="1"/>
      <c r="AL189" t="str">
        <f t="shared" si="2"/>
        <v/>
      </c>
    </row>
    <row r="190" spans="1:38" x14ac:dyDescent="0.3">
      <c r="A190" s="1" t="s">
        <v>1624</v>
      </c>
      <c r="B190" s="1" t="s">
        <v>263</v>
      </c>
      <c r="C190" s="1" t="s">
        <v>257</v>
      </c>
      <c r="D190" s="1" t="s">
        <v>21</v>
      </c>
      <c r="E190" s="1"/>
      <c r="F190" s="3" t="s">
        <v>222</v>
      </c>
      <c r="G190">
        <v>21.33</v>
      </c>
      <c r="H190" s="1" t="s">
        <v>1625</v>
      </c>
      <c r="I190" s="1" t="s">
        <v>1544</v>
      </c>
      <c r="J190">
        <v>1.01</v>
      </c>
      <c r="K190">
        <v>33</v>
      </c>
      <c r="L190">
        <v>6000</v>
      </c>
      <c r="M190">
        <v>36.450000000000003</v>
      </c>
      <c r="N190">
        <v>37.97</v>
      </c>
      <c r="O190" s="1">
        <v>7100</v>
      </c>
      <c r="P190" s="1" t="s">
        <v>21</v>
      </c>
      <c r="Q190" s="1"/>
      <c r="R190">
        <v>23</v>
      </c>
      <c r="S190">
        <v>-6</v>
      </c>
      <c r="T190">
        <v>213</v>
      </c>
      <c r="U190">
        <v>35.4</v>
      </c>
      <c r="V190">
        <v>4.99</v>
      </c>
      <c r="W190">
        <v>1</v>
      </c>
      <c r="X190" s="1">
        <f>IF(OR(Table_0[[#This Row],[Table 0 (4).Fanduel Position]]="PG",Table_0[[#This Row],[Table 0 (4).Fanduel Position.2]]="PG"),Table_0[[#This Row],[IN]],"")</f>
        <v>1</v>
      </c>
      <c r="Y190" s="1" t="str">
        <f>IF(OR(Table_0[[#This Row],[Table 0 (4).Fanduel Position]]="SG",Table_0[[#This Row],[Table 0 (4).Fanduel Position.2]]="SG"),Table_0[[#This Row],[IN]],"")</f>
        <v/>
      </c>
      <c r="Z190" s="1" t="str">
        <f>IF(OR(Table_0[[#This Row],[Table 0 (4).Fanduel Position]]="SF",Table_0[[#This Row],[Table 0 (4).Fanduel Position.2]]="SF"),Table_0[[#This Row],[IN]],"")</f>
        <v/>
      </c>
      <c r="AA190" s="1" t="str">
        <f>IF(OR(Table_0[[#This Row],[Table 0 (4).Fanduel Position]]="PF",Table_0[[#This Row],[Table 0 (4).Fanduel Position.2]]="PF"),Table_0[[#This Row],[IN]],"")</f>
        <v/>
      </c>
      <c r="AB190" s="1" t="str">
        <f>IF(OR(Table_0[[#This Row],[Table 0 (4).Fanduel Position]]="C",Table_0[[#This Row],[Table 0 (4).Fanduel Position.2]]="C"),Table_0[[#This Row],[IN]],"")</f>
        <v/>
      </c>
      <c r="AC190" s="1"/>
      <c r="AL190" t="str">
        <f t="shared" si="2"/>
        <v/>
      </c>
    </row>
    <row r="191" spans="1:38" x14ac:dyDescent="0.3">
      <c r="A191" s="1" t="s">
        <v>1626</v>
      </c>
      <c r="B191" s="1" t="s">
        <v>822</v>
      </c>
      <c r="C191" s="1" t="s">
        <v>382</v>
      </c>
      <c r="D191" s="1" t="s">
        <v>21</v>
      </c>
      <c r="E191" s="1" t="s">
        <v>13</v>
      </c>
      <c r="F191" s="3" t="s">
        <v>1375</v>
      </c>
      <c r="G191">
        <v>34.54</v>
      </c>
      <c r="H191" s="1" t="s">
        <v>1456</v>
      </c>
      <c r="I191" s="1" t="s">
        <v>25</v>
      </c>
      <c r="J191">
        <v>1.03</v>
      </c>
      <c r="K191">
        <v>35</v>
      </c>
      <c r="L191">
        <v>7300</v>
      </c>
      <c r="M191">
        <v>40.619999999999997</v>
      </c>
      <c r="N191">
        <v>34.78</v>
      </c>
      <c r="O191" s="1">
        <v>7300</v>
      </c>
      <c r="P191" s="1" t="s">
        <v>13</v>
      </c>
      <c r="Q191" s="1" t="s">
        <v>21</v>
      </c>
      <c r="R191">
        <v>4</v>
      </c>
      <c r="S191">
        <v>5.5</v>
      </c>
      <c r="T191">
        <v>225</v>
      </c>
      <c r="U191">
        <v>34.6</v>
      </c>
      <c r="V191">
        <v>4.74</v>
      </c>
      <c r="W191">
        <v>0</v>
      </c>
      <c r="X191" s="1">
        <f>IF(OR(Table_0[[#This Row],[Table 0 (4).Fanduel Position]]="PG",Table_0[[#This Row],[Table 0 (4).Fanduel Position.2]]="PG"),Table_0[[#This Row],[IN]],"")</f>
        <v>0</v>
      </c>
      <c r="Y191" s="1">
        <f>IF(OR(Table_0[[#This Row],[Table 0 (4).Fanduel Position]]="SG",Table_0[[#This Row],[Table 0 (4).Fanduel Position.2]]="SG"),Table_0[[#This Row],[IN]],"")</f>
        <v>0</v>
      </c>
      <c r="Z191" s="1" t="str">
        <f>IF(OR(Table_0[[#This Row],[Table 0 (4).Fanduel Position]]="SF",Table_0[[#This Row],[Table 0 (4).Fanduel Position.2]]="SF"),Table_0[[#This Row],[IN]],"")</f>
        <v/>
      </c>
      <c r="AA191" s="1" t="str">
        <f>IF(OR(Table_0[[#This Row],[Table 0 (4).Fanduel Position]]="PF",Table_0[[#This Row],[Table 0 (4).Fanduel Position.2]]="PF"),Table_0[[#This Row],[IN]],"")</f>
        <v/>
      </c>
      <c r="AB191" s="1" t="str">
        <f>IF(OR(Table_0[[#This Row],[Table 0 (4).Fanduel Position]]="C",Table_0[[#This Row],[Table 0 (4).Fanduel Position.2]]="C"),Table_0[[#This Row],[IN]],"")</f>
        <v/>
      </c>
      <c r="AC191" s="1"/>
      <c r="AL191" t="str">
        <f t="shared" si="2"/>
        <v>Dinwiddie</v>
      </c>
    </row>
    <row r="192" spans="1:38" x14ac:dyDescent="0.3">
      <c r="A192" s="1" t="s">
        <v>1626</v>
      </c>
      <c r="B192" s="1" t="s">
        <v>1627</v>
      </c>
      <c r="C192" s="1" t="s">
        <v>392</v>
      </c>
      <c r="D192" s="1" t="s">
        <v>16</v>
      </c>
      <c r="E192" s="1"/>
      <c r="F192" s="3" t="s">
        <v>17</v>
      </c>
      <c r="G192">
        <v>0</v>
      </c>
      <c r="H192" s="1" t="s">
        <v>22</v>
      </c>
      <c r="I192" s="1" t="s">
        <v>1330</v>
      </c>
      <c r="J192">
        <v>0</v>
      </c>
      <c r="K192">
        <v>0</v>
      </c>
      <c r="L192">
        <v>3000</v>
      </c>
      <c r="M192">
        <v>0</v>
      </c>
      <c r="N192">
        <v>0</v>
      </c>
      <c r="O192" s="1">
        <v>3500</v>
      </c>
      <c r="P192" s="1"/>
      <c r="Q192" s="1"/>
      <c r="W192">
        <v>0</v>
      </c>
      <c r="X192" s="1" t="str">
        <f>IF(OR(Table_0[[#This Row],[Table 0 (4).Fanduel Position]]="PG",Table_0[[#This Row],[Table 0 (4).Fanduel Position.2]]="PG"),Table_0[[#This Row],[IN]],"")</f>
        <v/>
      </c>
      <c r="Y192" s="1" t="str">
        <f>IF(OR(Table_0[[#This Row],[Table 0 (4).Fanduel Position]]="SG",Table_0[[#This Row],[Table 0 (4).Fanduel Position.2]]="SG"),Table_0[[#This Row],[IN]],"")</f>
        <v/>
      </c>
      <c r="Z192" s="1" t="str">
        <f>IF(OR(Table_0[[#This Row],[Table 0 (4).Fanduel Position]]="SF",Table_0[[#This Row],[Table 0 (4).Fanduel Position.2]]="SF"),Table_0[[#This Row],[IN]],"")</f>
        <v/>
      </c>
      <c r="AA192" s="1" t="str">
        <f>IF(OR(Table_0[[#This Row],[Table 0 (4).Fanduel Position]]="PF",Table_0[[#This Row],[Table 0 (4).Fanduel Position.2]]="PF"),Table_0[[#This Row],[IN]],"")</f>
        <v/>
      </c>
      <c r="AB192" s="1" t="str">
        <f>IF(OR(Table_0[[#This Row],[Table 0 (4).Fanduel Position]]="C",Table_0[[#This Row],[Table 0 (4).Fanduel Position.2]]="C"),Table_0[[#This Row],[IN]],"")</f>
        <v/>
      </c>
      <c r="AC192" s="1"/>
      <c r="AL192" t="str">
        <f t="shared" si="2"/>
        <v/>
      </c>
    </row>
    <row r="193" spans="1:38" x14ac:dyDescent="0.3">
      <c r="A193" s="1" t="s">
        <v>1628</v>
      </c>
      <c r="B193" s="1" t="s">
        <v>765</v>
      </c>
      <c r="C193" s="1" t="s">
        <v>408</v>
      </c>
      <c r="D193" s="1" t="s">
        <v>16</v>
      </c>
      <c r="E193" s="1" t="s">
        <v>18</v>
      </c>
      <c r="F193" s="3" t="s">
        <v>17</v>
      </c>
      <c r="G193">
        <v>24.29</v>
      </c>
      <c r="H193" s="1" t="s">
        <v>1497</v>
      </c>
      <c r="I193" s="1" t="s">
        <v>1429</v>
      </c>
      <c r="J193">
        <v>1.1200000000000001</v>
      </c>
      <c r="K193">
        <v>0</v>
      </c>
      <c r="L193">
        <v>3000</v>
      </c>
      <c r="M193">
        <v>0</v>
      </c>
      <c r="N193">
        <v>0</v>
      </c>
      <c r="O193" s="1">
        <v>3500</v>
      </c>
      <c r="P193" s="1"/>
      <c r="Q193" s="1"/>
      <c r="W193">
        <v>0</v>
      </c>
      <c r="X193" s="1" t="str">
        <f>IF(OR(Table_0[[#This Row],[Table 0 (4).Fanduel Position]]="PG",Table_0[[#This Row],[Table 0 (4).Fanduel Position.2]]="PG"),Table_0[[#This Row],[IN]],"")</f>
        <v/>
      </c>
      <c r="Y193" s="1" t="str">
        <f>IF(OR(Table_0[[#This Row],[Table 0 (4).Fanduel Position]]="SG",Table_0[[#This Row],[Table 0 (4).Fanduel Position.2]]="SG"),Table_0[[#This Row],[IN]],"")</f>
        <v/>
      </c>
      <c r="Z193" s="1" t="str">
        <f>IF(OR(Table_0[[#This Row],[Table 0 (4).Fanduel Position]]="SF",Table_0[[#This Row],[Table 0 (4).Fanduel Position.2]]="SF"),Table_0[[#This Row],[IN]],"")</f>
        <v/>
      </c>
      <c r="AA193" s="1" t="str">
        <f>IF(OR(Table_0[[#This Row],[Table 0 (4).Fanduel Position]]="PF",Table_0[[#This Row],[Table 0 (4).Fanduel Position.2]]="PF"),Table_0[[#This Row],[IN]],"")</f>
        <v/>
      </c>
      <c r="AB193" s="1" t="str">
        <f>IF(OR(Table_0[[#This Row],[Table 0 (4).Fanduel Position]]="C",Table_0[[#This Row],[Table 0 (4).Fanduel Position.2]]="C"),Table_0[[#This Row],[IN]],"")</f>
        <v/>
      </c>
      <c r="AC193" s="1"/>
      <c r="AL193" t="str">
        <f t="shared" si="2"/>
        <v/>
      </c>
    </row>
    <row r="194" spans="1:38" x14ac:dyDescent="0.3">
      <c r="A194" s="1" t="s">
        <v>288</v>
      </c>
      <c r="B194" s="1" t="s">
        <v>1629</v>
      </c>
      <c r="C194" s="1" t="s">
        <v>257</v>
      </c>
      <c r="D194" s="1" t="s">
        <v>16</v>
      </c>
      <c r="E194" s="1"/>
      <c r="F194" s="3" t="s">
        <v>33</v>
      </c>
      <c r="G194">
        <v>27</v>
      </c>
      <c r="H194" s="1" t="s">
        <v>1630</v>
      </c>
      <c r="I194" s="1" t="s">
        <v>1355</v>
      </c>
      <c r="J194">
        <v>0.97</v>
      </c>
      <c r="K194">
        <v>9</v>
      </c>
      <c r="L194">
        <v>4100</v>
      </c>
      <c r="M194">
        <v>10.8</v>
      </c>
      <c r="N194">
        <v>16.46</v>
      </c>
      <c r="O194" s="1">
        <v>3800</v>
      </c>
      <c r="P194" s="1" t="s">
        <v>18</v>
      </c>
      <c r="Q194" s="1" t="s">
        <v>16</v>
      </c>
      <c r="R194">
        <v>17</v>
      </c>
      <c r="S194">
        <v>-6</v>
      </c>
      <c r="T194">
        <v>213</v>
      </c>
      <c r="U194">
        <v>12.1</v>
      </c>
      <c r="V194">
        <v>3.18</v>
      </c>
      <c r="W194">
        <v>0</v>
      </c>
      <c r="X194" s="1" t="str">
        <f>IF(OR(Table_0[[#This Row],[Table 0 (4).Fanduel Position]]="PG",Table_0[[#This Row],[Table 0 (4).Fanduel Position.2]]="PG"),Table_0[[#This Row],[IN]],"")</f>
        <v/>
      </c>
      <c r="Y194" s="1" t="str">
        <f>IF(OR(Table_0[[#This Row],[Table 0 (4).Fanduel Position]]="SG",Table_0[[#This Row],[Table 0 (4).Fanduel Position.2]]="SG"),Table_0[[#This Row],[IN]],"")</f>
        <v/>
      </c>
      <c r="Z194" s="1" t="str">
        <f>IF(OR(Table_0[[#This Row],[Table 0 (4).Fanduel Position]]="SF",Table_0[[#This Row],[Table 0 (4).Fanduel Position.2]]="SF"),Table_0[[#This Row],[IN]],"")</f>
        <v/>
      </c>
      <c r="AA194" s="1">
        <f>IF(OR(Table_0[[#This Row],[Table 0 (4).Fanduel Position]]="PF",Table_0[[#This Row],[Table 0 (4).Fanduel Position.2]]="PF"),Table_0[[#This Row],[IN]],"")</f>
        <v>0</v>
      </c>
      <c r="AB194" s="1">
        <f>IF(OR(Table_0[[#This Row],[Table 0 (4).Fanduel Position]]="C",Table_0[[#This Row],[Table 0 (4).Fanduel Position.2]]="C"),Table_0[[#This Row],[IN]],"")</f>
        <v>0</v>
      </c>
      <c r="AC194" s="1"/>
      <c r="AL194" t="str">
        <f t="shared" ref="AL194:AL257" si="3">IF(W193=1,B193,"")</f>
        <v/>
      </c>
    </row>
    <row r="195" spans="1:38" x14ac:dyDescent="0.3">
      <c r="A195" s="1" t="s">
        <v>284</v>
      </c>
      <c r="B195" s="1" t="s">
        <v>285</v>
      </c>
      <c r="C195" s="1" t="s">
        <v>251</v>
      </c>
      <c r="D195" s="1" t="s">
        <v>18</v>
      </c>
      <c r="E195" s="1"/>
      <c r="F195" s="3" t="s">
        <v>33</v>
      </c>
      <c r="G195">
        <v>16.29</v>
      </c>
      <c r="H195" s="1" t="s">
        <v>1429</v>
      </c>
      <c r="I195" s="1" t="s">
        <v>36</v>
      </c>
      <c r="J195">
        <v>0.98</v>
      </c>
      <c r="K195">
        <v>9</v>
      </c>
      <c r="L195">
        <v>3000</v>
      </c>
      <c r="M195">
        <v>12.22</v>
      </c>
      <c r="N195">
        <v>25.46</v>
      </c>
      <c r="O195" s="1">
        <v>3600</v>
      </c>
      <c r="P195" s="1" t="s">
        <v>16</v>
      </c>
      <c r="Q195" s="1" t="s">
        <v>18</v>
      </c>
      <c r="R195">
        <v>25</v>
      </c>
      <c r="S195">
        <v>-2</v>
      </c>
      <c r="T195">
        <v>235.5</v>
      </c>
      <c r="U195">
        <v>10.4</v>
      </c>
      <c r="V195">
        <v>2.9</v>
      </c>
      <c r="W195">
        <v>0</v>
      </c>
      <c r="X195" s="1" t="str">
        <f>IF(OR(Table_0[[#This Row],[Table 0 (4).Fanduel Position]]="PG",Table_0[[#This Row],[Table 0 (4).Fanduel Position.2]]="PG"),Table_0[[#This Row],[IN]],"")</f>
        <v/>
      </c>
      <c r="Y195" s="1" t="str">
        <f>IF(OR(Table_0[[#This Row],[Table 0 (4).Fanduel Position]]="SG",Table_0[[#This Row],[Table 0 (4).Fanduel Position.2]]="SG"),Table_0[[#This Row],[IN]],"")</f>
        <v/>
      </c>
      <c r="Z195" s="1" t="str">
        <f>IF(OR(Table_0[[#This Row],[Table 0 (4).Fanduel Position]]="SF",Table_0[[#This Row],[Table 0 (4).Fanduel Position.2]]="SF"),Table_0[[#This Row],[IN]],"")</f>
        <v/>
      </c>
      <c r="AA195" s="1">
        <f>IF(OR(Table_0[[#This Row],[Table 0 (4).Fanduel Position]]="PF",Table_0[[#This Row],[Table 0 (4).Fanduel Position.2]]="PF"),Table_0[[#This Row],[IN]],"")</f>
        <v>0</v>
      </c>
      <c r="AB195" s="1">
        <f>IF(OR(Table_0[[#This Row],[Table 0 (4).Fanduel Position]]="C",Table_0[[#This Row],[Table 0 (4).Fanduel Position.2]]="C"),Table_0[[#This Row],[IN]],"")</f>
        <v>0</v>
      </c>
      <c r="AC195" s="1"/>
      <c r="AL195" t="str">
        <f t="shared" si="3"/>
        <v/>
      </c>
    </row>
    <row r="196" spans="1:38" x14ac:dyDescent="0.3">
      <c r="A196" s="1" t="s">
        <v>1631</v>
      </c>
      <c r="B196" s="1" t="s">
        <v>245</v>
      </c>
      <c r="C196" s="1" t="s">
        <v>392</v>
      </c>
      <c r="D196" s="1" t="s">
        <v>14</v>
      </c>
      <c r="E196" s="1" t="s">
        <v>16</v>
      </c>
      <c r="F196" s="3" t="s">
        <v>17</v>
      </c>
      <c r="G196">
        <v>16.059999999999999</v>
      </c>
      <c r="H196" s="1" t="s">
        <v>1632</v>
      </c>
      <c r="I196" s="1" t="s">
        <v>1433</v>
      </c>
      <c r="J196">
        <v>0.8</v>
      </c>
      <c r="K196">
        <v>0</v>
      </c>
      <c r="L196">
        <v>4300</v>
      </c>
      <c r="M196">
        <v>0</v>
      </c>
      <c r="N196">
        <v>0</v>
      </c>
      <c r="O196" s="1">
        <v>4500</v>
      </c>
      <c r="P196" s="1" t="s">
        <v>13</v>
      </c>
      <c r="Q196" s="1"/>
      <c r="R196">
        <v>5</v>
      </c>
      <c r="S196">
        <v>2</v>
      </c>
      <c r="T196">
        <v>211</v>
      </c>
      <c r="U196">
        <v>20.6</v>
      </c>
      <c r="V196">
        <v>4.58</v>
      </c>
      <c r="W196">
        <v>0</v>
      </c>
      <c r="X196" s="1" t="str">
        <f>IF(OR(Table_0[[#This Row],[Table 0 (4).Fanduel Position]]="PG",Table_0[[#This Row],[Table 0 (4).Fanduel Position.2]]="PG"),Table_0[[#This Row],[IN]],"")</f>
        <v/>
      </c>
      <c r="Y196" s="1">
        <f>IF(OR(Table_0[[#This Row],[Table 0 (4).Fanduel Position]]="SG",Table_0[[#This Row],[Table 0 (4).Fanduel Position.2]]="SG"),Table_0[[#This Row],[IN]],"")</f>
        <v>0</v>
      </c>
      <c r="Z196" s="1" t="str">
        <f>IF(OR(Table_0[[#This Row],[Table 0 (4).Fanduel Position]]="SF",Table_0[[#This Row],[Table 0 (4).Fanduel Position.2]]="SF"),Table_0[[#This Row],[IN]],"")</f>
        <v/>
      </c>
      <c r="AA196" s="1" t="str">
        <f>IF(OR(Table_0[[#This Row],[Table 0 (4).Fanduel Position]]="PF",Table_0[[#This Row],[Table 0 (4).Fanduel Position.2]]="PF"),Table_0[[#This Row],[IN]],"")</f>
        <v/>
      </c>
      <c r="AB196" s="1" t="str">
        <f>IF(OR(Table_0[[#This Row],[Table 0 (4).Fanduel Position]]="C",Table_0[[#This Row],[Table 0 (4).Fanduel Position.2]]="C"),Table_0[[#This Row],[IN]],"")</f>
        <v/>
      </c>
      <c r="AC196" s="1"/>
      <c r="AL196" t="str">
        <f t="shared" si="3"/>
        <v/>
      </c>
    </row>
    <row r="197" spans="1:38" x14ac:dyDescent="0.3">
      <c r="A197" s="1" t="s">
        <v>1633</v>
      </c>
      <c r="B197" s="1" t="s">
        <v>808</v>
      </c>
      <c r="C197" s="1" t="s">
        <v>388</v>
      </c>
      <c r="D197" s="1" t="s">
        <v>21</v>
      </c>
      <c r="E197" s="1" t="s">
        <v>13</v>
      </c>
      <c r="F197" s="3" t="s">
        <v>1297</v>
      </c>
      <c r="G197">
        <v>30.09</v>
      </c>
      <c r="H197" s="1" t="s">
        <v>1301</v>
      </c>
      <c r="I197" s="1" t="s">
        <v>1634</v>
      </c>
      <c r="J197">
        <v>1.02</v>
      </c>
      <c r="K197">
        <v>32</v>
      </c>
      <c r="L197">
        <v>7000</v>
      </c>
      <c r="M197">
        <v>35.369999999999997</v>
      </c>
      <c r="N197">
        <v>31.58</v>
      </c>
      <c r="O197" s="1">
        <v>7800</v>
      </c>
      <c r="P197" s="1" t="s">
        <v>21</v>
      </c>
      <c r="Q197" s="1" t="s">
        <v>13</v>
      </c>
      <c r="R197">
        <v>19</v>
      </c>
      <c r="S197">
        <v>4</v>
      </c>
      <c r="T197">
        <v>231</v>
      </c>
      <c r="U197">
        <v>36.200000000000003</v>
      </c>
      <c r="V197">
        <v>4.6399999999999997</v>
      </c>
      <c r="W197">
        <v>0</v>
      </c>
      <c r="X197" s="1">
        <f>IF(OR(Table_0[[#This Row],[Table 0 (4).Fanduel Position]]="PG",Table_0[[#This Row],[Table 0 (4).Fanduel Position.2]]="PG"),Table_0[[#This Row],[IN]],"")</f>
        <v>0</v>
      </c>
      <c r="Y197" s="1">
        <f>IF(OR(Table_0[[#This Row],[Table 0 (4).Fanduel Position]]="SG",Table_0[[#This Row],[Table 0 (4).Fanduel Position.2]]="SG"),Table_0[[#This Row],[IN]],"")</f>
        <v>0</v>
      </c>
      <c r="Z197" s="1" t="str">
        <f>IF(OR(Table_0[[#This Row],[Table 0 (4).Fanduel Position]]="SF",Table_0[[#This Row],[Table 0 (4).Fanduel Position.2]]="SF"),Table_0[[#This Row],[IN]],"")</f>
        <v/>
      </c>
      <c r="AA197" s="1" t="str">
        <f>IF(OR(Table_0[[#This Row],[Table 0 (4).Fanduel Position]]="PF",Table_0[[#This Row],[Table 0 (4).Fanduel Position.2]]="PF"),Table_0[[#This Row],[IN]],"")</f>
        <v/>
      </c>
      <c r="AB197" s="1" t="str">
        <f>IF(OR(Table_0[[#This Row],[Table 0 (4).Fanduel Position]]="C",Table_0[[#This Row],[Table 0 (4).Fanduel Position.2]]="C"),Table_0[[#This Row],[IN]],"")</f>
        <v/>
      </c>
      <c r="AC197" s="1"/>
      <c r="AL197" t="str">
        <f t="shared" si="3"/>
        <v/>
      </c>
    </row>
    <row r="198" spans="1:38" x14ac:dyDescent="0.3">
      <c r="A198" s="1" t="s">
        <v>253</v>
      </c>
      <c r="B198" s="1" t="s">
        <v>254</v>
      </c>
      <c r="C198" s="1" t="s">
        <v>251</v>
      </c>
      <c r="D198" s="1" t="s">
        <v>13</v>
      </c>
      <c r="E198" s="1" t="s">
        <v>14</v>
      </c>
      <c r="F198" s="3" t="s">
        <v>1396</v>
      </c>
      <c r="G198">
        <v>35.049999999999997</v>
      </c>
      <c r="H198" s="1" t="s">
        <v>1635</v>
      </c>
      <c r="I198" s="1" t="s">
        <v>1636</v>
      </c>
      <c r="J198">
        <v>1.18</v>
      </c>
      <c r="K198">
        <v>34</v>
      </c>
      <c r="L198">
        <v>8800</v>
      </c>
      <c r="M198">
        <v>43.26</v>
      </c>
      <c r="N198">
        <v>30.72</v>
      </c>
      <c r="O198" s="1">
        <v>7200</v>
      </c>
      <c r="P198" s="1" t="s">
        <v>13</v>
      </c>
      <c r="Q198" s="1"/>
      <c r="R198">
        <v>28</v>
      </c>
      <c r="S198">
        <v>-2</v>
      </c>
      <c r="T198">
        <v>235.5</v>
      </c>
      <c r="U198">
        <v>38.9</v>
      </c>
      <c r="V198">
        <v>5.4</v>
      </c>
      <c r="W198">
        <v>1</v>
      </c>
      <c r="X198" s="1" t="str">
        <f>IF(OR(Table_0[[#This Row],[Table 0 (4).Fanduel Position]]="PG",Table_0[[#This Row],[Table 0 (4).Fanduel Position.2]]="PG"),Table_0[[#This Row],[IN]],"")</f>
        <v/>
      </c>
      <c r="Y198" s="1">
        <f>IF(OR(Table_0[[#This Row],[Table 0 (4).Fanduel Position]]="SG",Table_0[[#This Row],[Table 0 (4).Fanduel Position.2]]="SG"),Table_0[[#This Row],[IN]],"")</f>
        <v>1</v>
      </c>
      <c r="Z198" s="1" t="str">
        <f>IF(OR(Table_0[[#This Row],[Table 0 (4).Fanduel Position]]="SF",Table_0[[#This Row],[Table 0 (4).Fanduel Position.2]]="SF"),Table_0[[#This Row],[IN]],"")</f>
        <v/>
      </c>
      <c r="AA198" s="1" t="str">
        <f>IF(OR(Table_0[[#This Row],[Table 0 (4).Fanduel Position]]="PF",Table_0[[#This Row],[Table 0 (4).Fanduel Position.2]]="PF"),Table_0[[#This Row],[IN]],"")</f>
        <v/>
      </c>
      <c r="AB198" s="1" t="str">
        <f>IF(OR(Table_0[[#This Row],[Table 0 (4).Fanduel Position]]="C",Table_0[[#This Row],[Table 0 (4).Fanduel Position.2]]="C"),Table_0[[#This Row],[IN]],"")</f>
        <v/>
      </c>
      <c r="AC198" s="1"/>
      <c r="AL198" t="str">
        <f t="shared" si="3"/>
        <v/>
      </c>
    </row>
    <row r="199" spans="1:38" x14ac:dyDescent="0.3">
      <c r="AL199" t="str">
        <f t="shared" si="3"/>
        <v>LaVine</v>
      </c>
    </row>
    <row r="200" spans="1:38" x14ac:dyDescent="0.3">
      <c r="AL200" t="str">
        <f t="shared" si="3"/>
        <v/>
      </c>
    </row>
    <row r="201" spans="1:38" x14ac:dyDescent="0.3">
      <c r="AL201" t="str">
        <f t="shared" si="3"/>
        <v/>
      </c>
    </row>
    <row r="202" spans="1:38" x14ac:dyDescent="0.3">
      <c r="AL202" t="str">
        <f t="shared" si="3"/>
        <v/>
      </c>
    </row>
    <row r="203" spans="1:38" x14ac:dyDescent="0.3">
      <c r="AL203" t="str">
        <f t="shared" si="3"/>
        <v/>
      </c>
    </row>
    <row r="204" spans="1:38" x14ac:dyDescent="0.3">
      <c r="AL204" t="str">
        <f t="shared" si="3"/>
        <v/>
      </c>
    </row>
    <row r="205" spans="1:38" x14ac:dyDescent="0.3">
      <c r="AL205" t="str">
        <f t="shared" si="3"/>
        <v/>
      </c>
    </row>
    <row r="206" spans="1:38" x14ac:dyDescent="0.3">
      <c r="AL206" t="str">
        <f t="shared" si="3"/>
        <v/>
      </c>
    </row>
    <row r="207" spans="1:38" x14ac:dyDescent="0.3">
      <c r="AL207" t="str">
        <f t="shared" si="3"/>
        <v/>
      </c>
    </row>
    <row r="208" spans="1:38" x14ac:dyDescent="0.3">
      <c r="AL208" t="str">
        <f t="shared" si="3"/>
        <v/>
      </c>
    </row>
    <row r="209" spans="38:38" x14ac:dyDescent="0.3">
      <c r="AL209" t="str">
        <f t="shared" si="3"/>
        <v/>
      </c>
    </row>
    <row r="210" spans="38:38" x14ac:dyDescent="0.3">
      <c r="AL210" t="str">
        <f t="shared" si="3"/>
        <v/>
      </c>
    </row>
    <row r="211" spans="38:38" x14ac:dyDescent="0.3">
      <c r="AL211" t="str">
        <f t="shared" si="3"/>
        <v/>
      </c>
    </row>
    <row r="212" spans="38:38" x14ac:dyDescent="0.3">
      <c r="AL212" t="str">
        <f t="shared" si="3"/>
        <v/>
      </c>
    </row>
    <row r="213" spans="38:38" x14ac:dyDescent="0.3">
      <c r="AL213" t="str">
        <f t="shared" si="3"/>
        <v/>
      </c>
    </row>
    <row r="214" spans="38:38" x14ac:dyDescent="0.3">
      <c r="AL214" t="str">
        <f t="shared" si="3"/>
        <v/>
      </c>
    </row>
    <row r="215" spans="38:38" x14ac:dyDescent="0.3">
      <c r="AL215" t="str">
        <f t="shared" si="3"/>
        <v/>
      </c>
    </row>
    <row r="216" spans="38:38" x14ac:dyDescent="0.3">
      <c r="AL216" t="str">
        <f t="shared" si="3"/>
        <v/>
      </c>
    </row>
    <row r="217" spans="38:38" x14ac:dyDescent="0.3">
      <c r="AL217" t="str">
        <f t="shared" si="3"/>
        <v/>
      </c>
    </row>
    <row r="218" spans="38:38" x14ac:dyDescent="0.3">
      <c r="AL218" t="str">
        <f t="shared" si="3"/>
        <v/>
      </c>
    </row>
    <row r="219" spans="38:38" x14ac:dyDescent="0.3">
      <c r="AL219" t="str">
        <f t="shared" si="3"/>
        <v/>
      </c>
    </row>
    <row r="220" spans="38:38" x14ac:dyDescent="0.3">
      <c r="AL220" t="str">
        <f t="shared" si="3"/>
        <v/>
      </c>
    </row>
    <row r="221" spans="38:38" x14ac:dyDescent="0.3">
      <c r="AL221" t="str">
        <f t="shared" si="3"/>
        <v/>
      </c>
    </row>
    <row r="222" spans="38:38" x14ac:dyDescent="0.3">
      <c r="AL222" t="str">
        <f t="shared" si="3"/>
        <v/>
      </c>
    </row>
    <row r="223" spans="38:38" x14ac:dyDescent="0.3">
      <c r="AL223" t="str">
        <f t="shared" si="3"/>
        <v/>
      </c>
    </row>
    <row r="224" spans="38:38" x14ac:dyDescent="0.3">
      <c r="AL224" t="str">
        <f t="shared" si="3"/>
        <v/>
      </c>
    </row>
    <row r="225" spans="38:38" x14ac:dyDescent="0.3">
      <c r="AL225" t="str">
        <f t="shared" si="3"/>
        <v/>
      </c>
    </row>
    <row r="226" spans="38:38" x14ac:dyDescent="0.3">
      <c r="AL226" t="str">
        <f t="shared" si="3"/>
        <v/>
      </c>
    </row>
    <row r="227" spans="38:38" x14ac:dyDescent="0.3">
      <c r="AL227" t="str">
        <f t="shared" si="3"/>
        <v/>
      </c>
    </row>
    <row r="228" spans="38:38" x14ac:dyDescent="0.3">
      <c r="AL228" t="str">
        <f t="shared" si="3"/>
        <v/>
      </c>
    </row>
    <row r="229" spans="38:38" x14ac:dyDescent="0.3">
      <c r="AL229" t="str">
        <f t="shared" si="3"/>
        <v/>
      </c>
    </row>
    <row r="230" spans="38:38" x14ac:dyDescent="0.3">
      <c r="AL230" t="str">
        <f t="shared" si="3"/>
        <v/>
      </c>
    </row>
    <row r="231" spans="38:38" x14ac:dyDescent="0.3">
      <c r="AL231" t="str">
        <f t="shared" si="3"/>
        <v/>
      </c>
    </row>
    <row r="232" spans="38:38" x14ac:dyDescent="0.3">
      <c r="AL232" t="str">
        <f t="shared" si="3"/>
        <v/>
      </c>
    </row>
    <row r="233" spans="38:38" x14ac:dyDescent="0.3">
      <c r="AL233" t="str">
        <f t="shared" si="3"/>
        <v/>
      </c>
    </row>
    <row r="234" spans="38:38" x14ac:dyDescent="0.3">
      <c r="AL234" t="str">
        <f t="shared" si="3"/>
        <v/>
      </c>
    </row>
    <row r="235" spans="38:38" x14ac:dyDescent="0.3">
      <c r="AL235" t="str">
        <f t="shared" si="3"/>
        <v/>
      </c>
    </row>
    <row r="236" spans="38:38" x14ac:dyDescent="0.3">
      <c r="AL236" t="str">
        <f t="shared" si="3"/>
        <v/>
      </c>
    </row>
    <row r="237" spans="38:38" x14ac:dyDescent="0.3">
      <c r="AL237" t="str">
        <f t="shared" si="3"/>
        <v/>
      </c>
    </row>
    <row r="238" spans="38:38" x14ac:dyDescent="0.3">
      <c r="AL238" t="str">
        <f t="shared" si="3"/>
        <v/>
      </c>
    </row>
    <row r="239" spans="38:38" x14ac:dyDescent="0.3">
      <c r="AL239" t="str">
        <f t="shared" si="3"/>
        <v/>
      </c>
    </row>
    <row r="240" spans="38:38" x14ac:dyDescent="0.3">
      <c r="AL240" t="str">
        <f t="shared" si="3"/>
        <v/>
      </c>
    </row>
    <row r="241" spans="38:38" x14ac:dyDescent="0.3">
      <c r="AL241" t="str">
        <f t="shared" si="3"/>
        <v/>
      </c>
    </row>
    <row r="242" spans="38:38" x14ac:dyDescent="0.3">
      <c r="AL242" t="str">
        <f t="shared" si="3"/>
        <v/>
      </c>
    </row>
    <row r="243" spans="38:38" x14ac:dyDescent="0.3">
      <c r="AL243" t="str">
        <f t="shared" si="3"/>
        <v/>
      </c>
    </row>
    <row r="244" spans="38:38" x14ac:dyDescent="0.3">
      <c r="AL244" t="str">
        <f t="shared" si="3"/>
        <v/>
      </c>
    </row>
    <row r="245" spans="38:38" x14ac:dyDescent="0.3">
      <c r="AL245" t="str">
        <f t="shared" si="3"/>
        <v/>
      </c>
    </row>
    <row r="246" spans="38:38" x14ac:dyDescent="0.3">
      <c r="AL246" t="str">
        <f t="shared" si="3"/>
        <v/>
      </c>
    </row>
    <row r="247" spans="38:38" x14ac:dyDescent="0.3">
      <c r="AL247" t="str">
        <f t="shared" si="3"/>
        <v/>
      </c>
    </row>
    <row r="248" spans="38:38" x14ac:dyDescent="0.3">
      <c r="AL248" t="str">
        <f t="shared" si="3"/>
        <v/>
      </c>
    </row>
    <row r="249" spans="38:38" x14ac:dyDescent="0.3">
      <c r="AL249" t="str">
        <f t="shared" si="3"/>
        <v/>
      </c>
    </row>
    <row r="250" spans="38:38" x14ac:dyDescent="0.3">
      <c r="AL250" t="str">
        <f t="shared" si="3"/>
        <v/>
      </c>
    </row>
    <row r="251" spans="38:38" x14ac:dyDescent="0.3">
      <c r="AL251" t="str">
        <f t="shared" si="3"/>
        <v/>
      </c>
    </row>
    <row r="252" spans="38:38" x14ac:dyDescent="0.3">
      <c r="AL252" t="str">
        <f t="shared" si="3"/>
        <v/>
      </c>
    </row>
    <row r="253" spans="38:38" x14ac:dyDescent="0.3">
      <c r="AL253" t="str">
        <f t="shared" si="3"/>
        <v/>
      </c>
    </row>
    <row r="254" spans="38:38" x14ac:dyDescent="0.3">
      <c r="AL254" t="str">
        <f t="shared" si="3"/>
        <v/>
      </c>
    </row>
    <row r="255" spans="38:38" x14ac:dyDescent="0.3">
      <c r="AL255" t="str">
        <f t="shared" si="3"/>
        <v/>
      </c>
    </row>
    <row r="256" spans="38:38" x14ac:dyDescent="0.3">
      <c r="AL256" t="str">
        <f t="shared" si="3"/>
        <v/>
      </c>
    </row>
    <row r="257" spans="38:38" x14ac:dyDescent="0.3">
      <c r="AL257" t="str">
        <f t="shared" si="3"/>
        <v/>
      </c>
    </row>
    <row r="258" spans="38:38" x14ac:dyDescent="0.3">
      <c r="AL258" t="str">
        <f t="shared" ref="AL258:AL302" si="4">IF(W257=1,B257,"")</f>
        <v/>
      </c>
    </row>
    <row r="259" spans="38:38" x14ac:dyDescent="0.3">
      <c r="AL259" t="str">
        <f t="shared" si="4"/>
        <v/>
      </c>
    </row>
    <row r="260" spans="38:38" x14ac:dyDescent="0.3">
      <c r="AL260" t="str">
        <f t="shared" si="4"/>
        <v/>
      </c>
    </row>
    <row r="261" spans="38:38" x14ac:dyDescent="0.3">
      <c r="AL261" t="str">
        <f t="shared" si="4"/>
        <v/>
      </c>
    </row>
    <row r="262" spans="38:38" x14ac:dyDescent="0.3">
      <c r="AL262" t="str">
        <f t="shared" si="4"/>
        <v/>
      </c>
    </row>
    <row r="263" spans="38:38" x14ac:dyDescent="0.3">
      <c r="AL263" t="str">
        <f t="shared" si="4"/>
        <v/>
      </c>
    </row>
    <row r="264" spans="38:38" x14ac:dyDescent="0.3">
      <c r="AL264" t="str">
        <f t="shared" si="4"/>
        <v/>
      </c>
    </row>
    <row r="265" spans="38:38" x14ac:dyDescent="0.3">
      <c r="AL265" t="str">
        <f t="shared" si="4"/>
        <v/>
      </c>
    </row>
    <row r="266" spans="38:38" x14ac:dyDescent="0.3">
      <c r="AL266" t="str">
        <f t="shared" si="4"/>
        <v/>
      </c>
    </row>
    <row r="267" spans="38:38" x14ac:dyDescent="0.3">
      <c r="AL267" t="str">
        <f t="shared" si="4"/>
        <v/>
      </c>
    </row>
    <row r="268" spans="38:38" x14ac:dyDescent="0.3">
      <c r="AL268" t="str">
        <f t="shared" si="4"/>
        <v/>
      </c>
    </row>
    <row r="269" spans="38:38" x14ac:dyDescent="0.3">
      <c r="AL269" t="str">
        <f t="shared" si="4"/>
        <v/>
      </c>
    </row>
    <row r="270" spans="38:38" x14ac:dyDescent="0.3">
      <c r="AL270" t="str">
        <f t="shared" si="4"/>
        <v/>
      </c>
    </row>
    <row r="271" spans="38:38" x14ac:dyDescent="0.3">
      <c r="AL271" t="str">
        <f t="shared" si="4"/>
        <v/>
      </c>
    </row>
    <row r="272" spans="38:38" x14ac:dyDescent="0.3">
      <c r="AL272" t="str">
        <f t="shared" si="4"/>
        <v/>
      </c>
    </row>
    <row r="273" spans="38:38" x14ac:dyDescent="0.3">
      <c r="AL273" t="str">
        <f t="shared" si="4"/>
        <v/>
      </c>
    </row>
    <row r="274" spans="38:38" x14ac:dyDescent="0.3">
      <c r="AL274" t="str">
        <f t="shared" si="4"/>
        <v/>
      </c>
    </row>
    <row r="275" spans="38:38" x14ac:dyDescent="0.3">
      <c r="AL275" t="str">
        <f t="shared" si="4"/>
        <v/>
      </c>
    </row>
    <row r="276" spans="38:38" x14ac:dyDescent="0.3">
      <c r="AL276" t="str">
        <f t="shared" si="4"/>
        <v/>
      </c>
    </row>
    <row r="277" spans="38:38" x14ac:dyDescent="0.3">
      <c r="AL277" t="str">
        <f t="shared" si="4"/>
        <v/>
      </c>
    </row>
    <row r="278" spans="38:38" x14ac:dyDescent="0.3">
      <c r="AL278" t="str">
        <f t="shared" si="4"/>
        <v/>
      </c>
    </row>
    <row r="279" spans="38:38" x14ac:dyDescent="0.3">
      <c r="AL279" t="str">
        <f t="shared" si="4"/>
        <v/>
      </c>
    </row>
    <row r="280" spans="38:38" x14ac:dyDescent="0.3">
      <c r="AL280" t="str">
        <f t="shared" si="4"/>
        <v/>
      </c>
    </row>
    <row r="281" spans="38:38" x14ac:dyDescent="0.3">
      <c r="AL281" t="str">
        <f t="shared" si="4"/>
        <v/>
      </c>
    </row>
    <row r="282" spans="38:38" x14ac:dyDescent="0.3">
      <c r="AL282" t="str">
        <f t="shared" si="4"/>
        <v/>
      </c>
    </row>
    <row r="283" spans="38:38" x14ac:dyDescent="0.3">
      <c r="AL283" t="str">
        <f t="shared" si="4"/>
        <v/>
      </c>
    </row>
    <row r="284" spans="38:38" x14ac:dyDescent="0.3">
      <c r="AL284" t="str">
        <f t="shared" si="4"/>
        <v/>
      </c>
    </row>
    <row r="285" spans="38:38" x14ac:dyDescent="0.3">
      <c r="AL285" t="str">
        <f t="shared" si="4"/>
        <v/>
      </c>
    </row>
    <row r="286" spans="38:38" x14ac:dyDescent="0.3">
      <c r="AL286" t="str">
        <f t="shared" si="4"/>
        <v/>
      </c>
    </row>
    <row r="287" spans="38:38" x14ac:dyDescent="0.3">
      <c r="AL287" t="str">
        <f t="shared" si="4"/>
        <v/>
      </c>
    </row>
    <row r="288" spans="38:38" x14ac:dyDescent="0.3">
      <c r="AL288" t="str">
        <f t="shared" si="4"/>
        <v/>
      </c>
    </row>
    <row r="289" spans="38:38" x14ac:dyDescent="0.3">
      <c r="AL289" t="str">
        <f t="shared" si="4"/>
        <v/>
      </c>
    </row>
    <row r="290" spans="38:38" x14ac:dyDescent="0.3">
      <c r="AL290" t="str">
        <f t="shared" si="4"/>
        <v/>
      </c>
    </row>
    <row r="291" spans="38:38" x14ac:dyDescent="0.3">
      <c r="AL291" t="str">
        <f t="shared" si="4"/>
        <v/>
      </c>
    </row>
    <row r="292" spans="38:38" x14ac:dyDescent="0.3">
      <c r="AL292" t="str">
        <f t="shared" si="4"/>
        <v/>
      </c>
    </row>
    <row r="293" spans="38:38" x14ac:dyDescent="0.3">
      <c r="AL293" t="str">
        <f t="shared" si="4"/>
        <v/>
      </c>
    </row>
    <row r="294" spans="38:38" x14ac:dyDescent="0.3">
      <c r="AL294" t="str">
        <f t="shared" si="4"/>
        <v/>
      </c>
    </row>
    <row r="295" spans="38:38" x14ac:dyDescent="0.3">
      <c r="AL295" t="str">
        <f t="shared" si="4"/>
        <v/>
      </c>
    </row>
    <row r="296" spans="38:38" x14ac:dyDescent="0.3">
      <c r="AL296" t="str">
        <f t="shared" si="4"/>
        <v/>
      </c>
    </row>
    <row r="297" spans="38:38" x14ac:dyDescent="0.3">
      <c r="AL297" t="str">
        <f t="shared" si="4"/>
        <v/>
      </c>
    </row>
    <row r="298" spans="38:38" x14ac:dyDescent="0.3">
      <c r="AL298" t="str">
        <f t="shared" si="4"/>
        <v/>
      </c>
    </row>
    <row r="299" spans="38:38" x14ac:dyDescent="0.3">
      <c r="AL299" t="str">
        <f t="shared" si="4"/>
        <v/>
      </c>
    </row>
    <row r="300" spans="38:38" x14ac:dyDescent="0.3">
      <c r="AL300" t="str">
        <f t="shared" si="4"/>
        <v/>
      </c>
    </row>
    <row r="301" spans="38:38" x14ac:dyDescent="0.3">
      <c r="AL301" t="str">
        <f t="shared" si="4"/>
        <v/>
      </c>
    </row>
    <row r="302" spans="38:38" x14ac:dyDescent="0.3">
      <c r="AL302" t="str">
        <f t="shared" si="4"/>
        <v/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EF139-C680-433D-9A3F-3D258C644F9D}">
  <sheetPr codeName="Sheet2"/>
  <dimension ref="A1:G354"/>
  <sheetViews>
    <sheetView workbookViewId="0">
      <selection sqref="A1:G244"/>
    </sheetView>
  </sheetViews>
  <sheetFormatPr defaultRowHeight="14.4" x14ac:dyDescent="0.3"/>
  <cols>
    <col min="1" max="1" width="23.21875" bestFit="1" customWidth="1"/>
    <col min="2" max="2" width="10" bestFit="1" customWidth="1"/>
    <col min="3" max="3" width="7.88671875" bestFit="1" customWidth="1"/>
    <col min="4" max="4" width="21" bestFit="1" customWidth="1"/>
    <col min="5" max="5" width="10" bestFit="1" customWidth="1"/>
    <col min="6" max="6" width="11.88671875" bestFit="1" customWidth="1"/>
    <col min="7" max="7" width="8.5546875" bestFit="1" customWidth="1"/>
  </cols>
  <sheetData>
    <row r="1" spans="1:7" x14ac:dyDescent="0.3">
      <c r="A1" t="s">
        <v>40</v>
      </c>
      <c r="B1" t="s">
        <v>39</v>
      </c>
      <c r="C1" t="s">
        <v>1</v>
      </c>
      <c r="D1" t="s">
        <v>47</v>
      </c>
      <c r="E1" t="s">
        <v>48</v>
      </c>
      <c r="F1" t="s">
        <v>49</v>
      </c>
      <c r="G1" t="s">
        <v>50</v>
      </c>
    </row>
    <row r="2" spans="1:7" x14ac:dyDescent="0.3">
      <c r="A2" s="1" t="s">
        <v>380</v>
      </c>
      <c r="B2" s="1" t="s">
        <v>14</v>
      </c>
      <c r="C2" s="1" t="s">
        <v>381</v>
      </c>
      <c r="D2" s="1" t="s">
        <v>382</v>
      </c>
      <c r="E2" s="1" t="s">
        <v>69</v>
      </c>
      <c r="F2">
        <v>3000</v>
      </c>
      <c r="G2" s="1" t="s">
        <v>69</v>
      </c>
    </row>
    <row r="3" spans="1:7" x14ac:dyDescent="0.3">
      <c r="A3" s="1" t="s">
        <v>304</v>
      </c>
      <c r="B3" s="1" t="s">
        <v>21</v>
      </c>
      <c r="C3" s="1" t="s">
        <v>257</v>
      </c>
      <c r="D3" s="1" t="s">
        <v>383</v>
      </c>
      <c r="E3" s="1" t="s">
        <v>58</v>
      </c>
      <c r="F3">
        <v>3200</v>
      </c>
      <c r="G3" s="1" t="s">
        <v>52</v>
      </c>
    </row>
    <row r="4" spans="1:7" x14ac:dyDescent="0.3">
      <c r="A4" s="1" t="s">
        <v>384</v>
      </c>
      <c r="B4" s="1" t="s">
        <v>14</v>
      </c>
      <c r="C4" s="1" t="s">
        <v>385</v>
      </c>
      <c r="D4" s="1" t="s">
        <v>386</v>
      </c>
      <c r="E4" s="1" t="s">
        <v>51</v>
      </c>
      <c r="F4">
        <v>3000</v>
      </c>
      <c r="G4" s="1" t="s">
        <v>52</v>
      </c>
    </row>
    <row r="5" spans="1:7" x14ac:dyDescent="0.3">
      <c r="A5" s="1" t="s">
        <v>387</v>
      </c>
      <c r="B5" s="1" t="s">
        <v>16</v>
      </c>
      <c r="C5" s="1" t="s">
        <v>388</v>
      </c>
      <c r="D5" s="1" t="s">
        <v>389</v>
      </c>
      <c r="E5" s="1" t="s">
        <v>69</v>
      </c>
      <c r="F5">
        <v>3000</v>
      </c>
      <c r="G5" s="1" t="s">
        <v>69</v>
      </c>
    </row>
    <row r="6" spans="1:7" x14ac:dyDescent="0.3">
      <c r="A6" s="1" t="s">
        <v>390</v>
      </c>
      <c r="B6" s="1" t="s">
        <v>16</v>
      </c>
      <c r="C6" s="1" t="s">
        <v>383</v>
      </c>
      <c r="D6" s="1" t="s">
        <v>305</v>
      </c>
      <c r="E6" s="1" t="s">
        <v>69</v>
      </c>
      <c r="G6" s="1" t="s">
        <v>52</v>
      </c>
    </row>
    <row r="7" spans="1:7" x14ac:dyDescent="0.3">
      <c r="A7" s="1" t="s">
        <v>391</v>
      </c>
      <c r="B7" s="1" t="s">
        <v>21</v>
      </c>
      <c r="C7" s="1" t="s">
        <v>392</v>
      </c>
      <c r="D7" s="1" t="s">
        <v>385</v>
      </c>
      <c r="E7" s="1" t="s">
        <v>69</v>
      </c>
      <c r="F7">
        <v>3000</v>
      </c>
      <c r="G7" s="1" t="s">
        <v>69</v>
      </c>
    </row>
    <row r="8" spans="1:7" x14ac:dyDescent="0.3">
      <c r="A8" s="1" t="s">
        <v>393</v>
      </c>
      <c r="B8" s="1" t="s">
        <v>16</v>
      </c>
      <c r="C8" s="1" t="s">
        <v>385</v>
      </c>
      <c r="D8" s="1" t="s">
        <v>386</v>
      </c>
      <c r="E8" s="1" t="s">
        <v>103</v>
      </c>
      <c r="F8">
        <v>5400</v>
      </c>
      <c r="G8" s="1" t="s">
        <v>212</v>
      </c>
    </row>
    <row r="9" spans="1:7" x14ac:dyDescent="0.3">
      <c r="A9" s="1" t="s">
        <v>394</v>
      </c>
      <c r="B9" s="1" t="s">
        <v>16</v>
      </c>
      <c r="C9" s="1" t="s">
        <v>385</v>
      </c>
      <c r="D9" s="1" t="s">
        <v>386</v>
      </c>
      <c r="E9" s="1" t="s">
        <v>69</v>
      </c>
      <c r="F9">
        <v>3000</v>
      </c>
      <c r="G9" s="1" t="s">
        <v>69</v>
      </c>
    </row>
    <row r="10" spans="1:7" x14ac:dyDescent="0.3">
      <c r="A10" s="1" t="s">
        <v>395</v>
      </c>
      <c r="B10" s="1" t="s">
        <v>13</v>
      </c>
      <c r="C10" s="1" t="s">
        <v>396</v>
      </c>
      <c r="D10" s="1" t="s">
        <v>397</v>
      </c>
      <c r="E10" s="1" t="s">
        <v>103</v>
      </c>
      <c r="F10">
        <v>5600</v>
      </c>
      <c r="G10" s="1" t="s">
        <v>55</v>
      </c>
    </row>
    <row r="11" spans="1:7" x14ac:dyDescent="0.3">
      <c r="A11" s="1" t="s">
        <v>306</v>
      </c>
      <c r="B11" s="1" t="s">
        <v>13</v>
      </c>
      <c r="C11" s="1" t="s">
        <v>251</v>
      </c>
      <c r="D11" s="1" t="s">
        <v>398</v>
      </c>
      <c r="E11" s="1" t="s">
        <v>211</v>
      </c>
      <c r="F11">
        <v>4600</v>
      </c>
      <c r="G11" s="1" t="s">
        <v>92</v>
      </c>
    </row>
    <row r="12" spans="1:7" x14ac:dyDescent="0.3">
      <c r="A12" s="1" t="s">
        <v>399</v>
      </c>
      <c r="B12" s="1" t="s">
        <v>18</v>
      </c>
      <c r="C12" s="1" t="s">
        <v>388</v>
      </c>
      <c r="D12" s="1" t="s">
        <v>389</v>
      </c>
      <c r="E12" s="1" t="s">
        <v>78</v>
      </c>
      <c r="F12">
        <v>4000</v>
      </c>
      <c r="G12" s="1" t="s">
        <v>57</v>
      </c>
    </row>
    <row r="13" spans="1:7" x14ac:dyDescent="0.3">
      <c r="A13" s="1" t="s">
        <v>307</v>
      </c>
      <c r="B13" s="1" t="s">
        <v>14</v>
      </c>
      <c r="C13" s="1" t="s">
        <v>251</v>
      </c>
      <c r="D13" s="1" t="s">
        <v>398</v>
      </c>
      <c r="E13" s="1" t="s">
        <v>51</v>
      </c>
      <c r="F13">
        <v>3000</v>
      </c>
      <c r="G13" s="1" t="s">
        <v>52</v>
      </c>
    </row>
    <row r="14" spans="1:7" x14ac:dyDescent="0.3">
      <c r="A14" s="1" t="s">
        <v>308</v>
      </c>
      <c r="B14" s="1" t="s">
        <v>16</v>
      </c>
      <c r="C14" s="1" t="s">
        <v>257</v>
      </c>
      <c r="D14" s="1" t="s">
        <v>383</v>
      </c>
      <c r="E14" s="1" t="s">
        <v>51</v>
      </c>
      <c r="F14">
        <v>3100</v>
      </c>
      <c r="G14" s="1" t="s">
        <v>52</v>
      </c>
    </row>
    <row r="15" spans="1:7" x14ac:dyDescent="0.3">
      <c r="A15" s="1" t="s">
        <v>400</v>
      </c>
      <c r="B15" s="1" t="s">
        <v>18</v>
      </c>
      <c r="C15" s="1" t="s">
        <v>401</v>
      </c>
      <c r="D15" s="1" t="s">
        <v>402</v>
      </c>
      <c r="E15" s="1" t="s">
        <v>58</v>
      </c>
      <c r="F15">
        <v>4900</v>
      </c>
      <c r="G15" s="1" t="s">
        <v>66</v>
      </c>
    </row>
    <row r="16" spans="1:7" x14ac:dyDescent="0.3">
      <c r="A16" s="1" t="s">
        <v>403</v>
      </c>
      <c r="B16" s="1" t="s">
        <v>18</v>
      </c>
      <c r="C16" s="1" t="s">
        <v>381</v>
      </c>
      <c r="D16" s="1" t="s">
        <v>382</v>
      </c>
      <c r="E16" s="1" t="s">
        <v>65</v>
      </c>
      <c r="F16">
        <v>5000</v>
      </c>
      <c r="G16" s="1" t="s">
        <v>96</v>
      </c>
    </row>
    <row r="17" spans="1:7" x14ac:dyDescent="0.3">
      <c r="A17" s="1" t="s">
        <v>404</v>
      </c>
      <c r="B17" s="1" t="s">
        <v>16</v>
      </c>
      <c r="C17" s="1" t="s">
        <v>389</v>
      </c>
      <c r="D17" s="1" t="s">
        <v>405</v>
      </c>
      <c r="E17" s="1" t="s">
        <v>406</v>
      </c>
      <c r="G17" s="1" t="s">
        <v>315</v>
      </c>
    </row>
    <row r="18" spans="1:7" x14ac:dyDescent="0.3">
      <c r="A18" s="1" t="s">
        <v>309</v>
      </c>
      <c r="B18" s="1" t="s">
        <v>16</v>
      </c>
      <c r="C18" s="1" t="s">
        <v>257</v>
      </c>
      <c r="D18" s="1" t="s">
        <v>383</v>
      </c>
      <c r="E18" s="1" t="s">
        <v>51</v>
      </c>
      <c r="F18">
        <v>3000</v>
      </c>
      <c r="G18" s="1" t="s">
        <v>52</v>
      </c>
    </row>
    <row r="19" spans="1:7" x14ac:dyDescent="0.3">
      <c r="A19" s="1" t="s">
        <v>407</v>
      </c>
      <c r="B19" s="1" t="s">
        <v>14</v>
      </c>
      <c r="C19" s="1" t="s">
        <v>408</v>
      </c>
      <c r="D19" s="1" t="s">
        <v>401</v>
      </c>
      <c r="E19" s="1" t="s">
        <v>51</v>
      </c>
      <c r="F19">
        <v>3000</v>
      </c>
      <c r="G19" s="1" t="s">
        <v>52</v>
      </c>
    </row>
    <row r="20" spans="1:7" x14ac:dyDescent="0.3">
      <c r="A20" s="1" t="s">
        <v>409</v>
      </c>
      <c r="B20" s="1" t="s">
        <v>16</v>
      </c>
      <c r="C20" s="1" t="s">
        <v>410</v>
      </c>
      <c r="D20" s="1" t="s">
        <v>411</v>
      </c>
      <c r="E20" s="1" t="s">
        <v>69</v>
      </c>
      <c r="F20">
        <v>3000</v>
      </c>
      <c r="G20" s="1" t="s">
        <v>52</v>
      </c>
    </row>
    <row r="21" spans="1:7" x14ac:dyDescent="0.3">
      <c r="A21" s="1" t="s">
        <v>412</v>
      </c>
      <c r="B21" s="1" t="s">
        <v>21</v>
      </c>
      <c r="C21" s="1" t="s">
        <v>401</v>
      </c>
      <c r="D21" s="1" t="s">
        <v>402</v>
      </c>
      <c r="E21" s="1" t="s">
        <v>98</v>
      </c>
      <c r="F21">
        <v>3600</v>
      </c>
      <c r="G21" s="1" t="s">
        <v>52</v>
      </c>
    </row>
    <row r="22" spans="1:7" x14ac:dyDescent="0.3">
      <c r="A22" s="1" t="s">
        <v>413</v>
      </c>
      <c r="B22" s="1" t="s">
        <v>14</v>
      </c>
      <c r="C22" s="1" t="s">
        <v>382</v>
      </c>
      <c r="D22" s="1" t="s">
        <v>414</v>
      </c>
      <c r="E22" s="1" t="s">
        <v>51</v>
      </c>
      <c r="F22">
        <v>3000</v>
      </c>
      <c r="G22" s="1" t="s">
        <v>52</v>
      </c>
    </row>
    <row r="23" spans="1:7" x14ac:dyDescent="0.3">
      <c r="A23" s="1" t="s">
        <v>415</v>
      </c>
      <c r="B23" s="1" t="s">
        <v>13</v>
      </c>
      <c r="C23" s="1" t="s">
        <v>389</v>
      </c>
      <c r="D23" s="1" t="s">
        <v>405</v>
      </c>
      <c r="E23" s="1" t="s">
        <v>51</v>
      </c>
      <c r="G23" s="1" t="s">
        <v>52</v>
      </c>
    </row>
    <row r="24" spans="1:7" x14ac:dyDescent="0.3">
      <c r="A24" s="1" t="s">
        <v>416</v>
      </c>
      <c r="B24" s="1" t="s">
        <v>13</v>
      </c>
      <c r="C24" s="1" t="s">
        <v>389</v>
      </c>
      <c r="D24" s="1" t="s">
        <v>405</v>
      </c>
      <c r="E24" s="1" t="s">
        <v>218</v>
      </c>
      <c r="G24" s="1" t="s">
        <v>52</v>
      </c>
    </row>
    <row r="25" spans="1:7" x14ac:dyDescent="0.3">
      <c r="A25" s="1" t="s">
        <v>310</v>
      </c>
      <c r="B25" s="1" t="s">
        <v>13</v>
      </c>
      <c r="C25" s="1" t="s">
        <v>251</v>
      </c>
      <c r="D25" s="1" t="s">
        <v>398</v>
      </c>
      <c r="E25" s="1" t="s">
        <v>98</v>
      </c>
      <c r="F25">
        <v>3600</v>
      </c>
      <c r="G25" s="1" t="s">
        <v>52</v>
      </c>
    </row>
    <row r="26" spans="1:7" x14ac:dyDescent="0.3">
      <c r="A26" s="1" t="s">
        <v>417</v>
      </c>
      <c r="B26" s="1" t="s">
        <v>18</v>
      </c>
      <c r="C26" s="1" t="s">
        <v>410</v>
      </c>
      <c r="D26" s="1" t="s">
        <v>411</v>
      </c>
      <c r="E26" s="1" t="s">
        <v>234</v>
      </c>
      <c r="G26" s="1" t="s">
        <v>81</v>
      </c>
    </row>
    <row r="27" spans="1:7" x14ac:dyDescent="0.3">
      <c r="A27" s="1" t="s">
        <v>418</v>
      </c>
      <c r="B27" s="1" t="s">
        <v>21</v>
      </c>
      <c r="C27" s="1" t="s">
        <v>381</v>
      </c>
      <c r="D27" s="1" t="s">
        <v>382</v>
      </c>
      <c r="E27" s="1" t="s">
        <v>419</v>
      </c>
      <c r="F27">
        <v>8000</v>
      </c>
      <c r="G27" s="1" t="s">
        <v>52</v>
      </c>
    </row>
    <row r="28" spans="1:7" x14ac:dyDescent="0.3">
      <c r="A28" s="1" t="s">
        <v>420</v>
      </c>
      <c r="B28" s="1" t="s">
        <v>16</v>
      </c>
      <c r="C28" s="1" t="s">
        <v>398</v>
      </c>
      <c r="D28" s="1" t="s">
        <v>311</v>
      </c>
      <c r="E28" s="1" t="s">
        <v>51</v>
      </c>
      <c r="F28">
        <v>3200</v>
      </c>
      <c r="G28" s="1" t="s">
        <v>52</v>
      </c>
    </row>
    <row r="29" spans="1:7" x14ac:dyDescent="0.3">
      <c r="A29" s="1" t="s">
        <v>421</v>
      </c>
      <c r="B29" s="1" t="s">
        <v>18</v>
      </c>
      <c r="C29" s="1" t="s">
        <v>397</v>
      </c>
      <c r="D29" s="1" t="s">
        <v>422</v>
      </c>
      <c r="E29" s="1" t="s">
        <v>51</v>
      </c>
      <c r="G29" s="1" t="s">
        <v>52</v>
      </c>
    </row>
    <row r="30" spans="1:7" x14ac:dyDescent="0.3">
      <c r="A30" s="1" t="s">
        <v>423</v>
      </c>
      <c r="B30" s="1" t="s">
        <v>13</v>
      </c>
      <c r="C30" s="1" t="s">
        <v>424</v>
      </c>
      <c r="D30" s="1" t="s">
        <v>410</v>
      </c>
      <c r="E30" s="1" t="s">
        <v>425</v>
      </c>
      <c r="G30" s="1" t="s">
        <v>57</v>
      </c>
    </row>
    <row r="31" spans="1:7" x14ac:dyDescent="0.3">
      <c r="A31" s="1" t="s">
        <v>426</v>
      </c>
      <c r="B31" s="1" t="s">
        <v>14</v>
      </c>
      <c r="C31" s="1" t="s">
        <v>427</v>
      </c>
      <c r="D31" s="1" t="s">
        <v>428</v>
      </c>
      <c r="E31" s="1" t="s">
        <v>232</v>
      </c>
      <c r="F31">
        <v>5900</v>
      </c>
      <c r="G31" s="1" t="s">
        <v>429</v>
      </c>
    </row>
    <row r="32" spans="1:7" x14ac:dyDescent="0.3">
      <c r="A32" s="1" t="s">
        <v>312</v>
      </c>
      <c r="B32" s="1" t="s">
        <v>21</v>
      </c>
      <c r="C32" s="1" t="s">
        <v>257</v>
      </c>
      <c r="D32" s="1" t="s">
        <v>383</v>
      </c>
      <c r="E32" s="1" t="s">
        <v>69</v>
      </c>
      <c r="G32" s="1" t="s">
        <v>69</v>
      </c>
    </row>
    <row r="33" spans="1:7" x14ac:dyDescent="0.3">
      <c r="A33" s="1" t="s">
        <v>313</v>
      </c>
      <c r="B33" s="1" t="s">
        <v>13</v>
      </c>
      <c r="C33" s="1" t="s">
        <v>257</v>
      </c>
      <c r="D33" s="1" t="s">
        <v>383</v>
      </c>
      <c r="E33" s="1" t="s">
        <v>314</v>
      </c>
      <c r="F33">
        <v>9200</v>
      </c>
      <c r="G33" s="1" t="s">
        <v>315</v>
      </c>
    </row>
    <row r="34" spans="1:7" x14ac:dyDescent="0.3">
      <c r="A34" s="1" t="s">
        <v>430</v>
      </c>
      <c r="B34" s="1" t="s">
        <v>21</v>
      </c>
      <c r="C34" s="1" t="s">
        <v>428</v>
      </c>
      <c r="D34" s="1" t="s">
        <v>431</v>
      </c>
      <c r="E34" s="1" t="s">
        <v>90</v>
      </c>
      <c r="F34">
        <v>3000</v>
      </c>
      <c r="G34" s="1" t="s">
        <v>52</v>
      </c>
    </row>
    <row r="35" spans="1:7" x14ac:dyDescent="0.3">
      <c r="A35" s="1" t="s">
        <v>432</v>
      </c>
      <c r="B35" s="1" t="s">
        <v>21</v>
      </c>
      <c r="C35" s="1" t="s">
        <v>397</v>
      </c>
      <c r="D35" s="1" t="s">
        <v>422</v>
      </c>
      <c r="E35" s="1" t="s">
        <v>69</v>
      </c>
      <c r="G35" s="1" t="s">
        <v>69</v>
      </c>
    </row>
    <row r="36" spans="1:7" x14ac:dyDescent="0.3">
      <c r="A36" s="1" t="s">
        <v>433</v>
      </c>
      <c r="B36" s="1" t="s">
        <v>13</v>
      </c>
      <c r="C36" s="1" t="s">
        <v>381</v>
      </c>
      <c r="D36" s="1" t="s">
        <v>382</v>
      </c>
      <c r="E36" s="1" t="s">
        <v>69</v>
      </c>
      <c r="F36">
        <v>3000</v>
      </c>
      <c r="G36" s="1" t="s">
        <v>52</v>
      </c>
    </row>
    <row r="37" spans="1:7" x14ac:dyDescent="0.3">
      <c r="A37" s="1" t="s">
        <v>434</v>
      </c>
      <c r="B37" s="1" t="s">
        <v>13</v>
      </c>
      <c r="C37" s="1" t="s">
        <v>385</v>
      </c>
      <c r="D37" s="1" t="s">
        <v>386</v>
      </c>
      <c r="E37" s="1" t="s">
        <v>51</v>
      </c>
      <c r="F37">
        <v>3000</v>
      </c>
      <c r="G37" s="1" t="s">
        <v>52</v>
      </c>
    </row>
    <row r="38" spans="1:7" x14ac:dyDescent="0.3">
      <c r="A38" s="1" t="s">
        <v>435</v>
      </c>
      <c r="B38" s="1" t="s">
        <v>13</v>
      </c>
      <c r="C38" s="1" t="s">
        <v>398</v>
      </c>
      <c r="D38" s="1" t="s">
        <v>311</v>
      </c>
      <c r="E38" s="1" t="s">
        <v>102</v>
      </c>
      <c r="F38">
        <v>3900</v>
      </c>
      <c r="G38" s="1" t="s">
        <v>57</v>
      </c>
    </row>
    <row r="39" spans="1:7" x14ac:dyDescent="0.3">
      <c r="A39" s="1" t="s">
        <v>436</v>
      </c>
      <c r="B39" s="1" t="s">
        <v>18</v>
      </c>
      <c r="C39" s="1" t="s">
        <v>385</v>
      </c>
      <c r="D39" s="1" t="s">
        <v>386</v>
      </c>
      <c r="E39" s="1" t="s">
        <v>51</v>
      </c>
      <c r="F39">
        <v>3000</v>
      </c>
      <c r="G39" s="1" t="s">
        <v>52</v>
      </c>
    </row>
    <row r="40" spans="1:7" x14ac:dyDescent="0.3">
      <c r="A40" s="1" t="s">
        <v>437</v>
      </c>
      <c r="B40" s="1" t="s">
        <v>13</v>
      </c>
      <c r="C40" s="1" t="s">
        <v>408</v>
      </c>
      <c r="D40" s="1" t="s">
        <v>401</v>
      </c>
      <c r="E40" s="1" t="s">
        <v>89</v>
      </c>
      <c r="F40">
        <v>3600</v>
      </c>
      <c r="G40" s="1" t="s">
        <v>52</v>
      </c>
    </row>
    <row r="41" spans="1:7" x14ac:dyDescent="0.3">
      <c r="A41" s="1" t="s">
        <v>438</v>
      </c>
      <c r="B41" s="1" t="s">
        <v>13</v>
      </c>
      <c r="C41" s="1" t="s">
        <v>388</v>
      </c>
      <c r="D41" s="1" t="s">
        <v>389</v>
      </c>
      <c r="E41" s="1" t="s">
        <v>56</v>
      </c>
      <c r="F41">
        <v>5600</v>
      </c>
      <c r="G41" s="1" t="s">
        <v>55</v>
      </c>
    </row>
    <row r="42" spans="1:7" x14ac:dyDescent="0.3">
      <c r="A42" s="1" t="s">
        <v>439</v>
      </c>
      <c r="B42" s="1" t="s">
        <v>14</v>
      </c>
      <c r="C42" s="1" t="s">
        <v>385</v>
      </c>
      <c r="D42" s="1" t="s">
        <v>386</v>
      </c>
      <c r="E42" s="1" t="s">
        <v>51</v>
      </c>
      <c r="F42">
        <v>3000</v>
      </c>
      <c r="G42" s="1" t="s">
        <v>69</v>
      </c>
    </row>
    <row r="43" spans="1:7" x14ac:dyDescent="0.3">
      <c r="A43" s="1" t="s">
        <v>440</v>
      </c>
      <c r="B43" s="1" t="s">
        <v>14</v>
      </c>
      <c r="C43" s="1" t="s">
        <v>410</v>
      </c>
      <c r="D43" s="1" t="s">
        <v>411</v>
      </c>
      <c r="E43" s="1" t="s">
        <v>88</v>
      </c>
      <c r="G43" s="1" t="s">
        <v>101</v>
      </c>
    </row>
    <row r="44" spans="1:7" x14ac:dyDescent="0.3">
      <c r="A44" s="1" t="s">
        <v>441</v>
      </c>
      <c r="B44" s="1" t="s">
        <v>14</v>
      </c>
      <c r="C44" s="1" t="s">
        <v>424</v>
      </c>
      <c r="D44" s="1" t="s">
        <v>410</v>
      </c>
      <c r="E44" s="1" t="s">
        <v>77</v>
      </c>
      <c r="G44" s="1" t="s">
        <v>52</v>
      </c>
    </row>
    <row r="45" spans="1:7" x14ac:dyDescent="0.3">
      <c r="A45" s="1" t="s">
        <v>442</v>
      </c>
      <c r="B45" s="1" t="s">
        <v>13</v>
      </c>
      <c r="C45" s="1" t="s">
        <v>398</v>
      </c>
      <c r="D45" s="1" t="s">
        <v>311</v>
      </c>
      <c r="E45" s="1" t="s">
        <v>211</v>
      </c>
      <c r="F45">
        <v>4000</v>
      </c>
      <c r="G45" s="1" t="s">
        <v>59</v>
      </c>
    </row>
    <row r="46" spans="1:7" x14ac:dyDescent="0.3">
      <c r="A46" s="1" t="s">
        <v>443</v>
      </c>
      <c r="B46" s="1" t="s">
        <v>16</v>
      </c>
      <c r="C46" s="1" t="s">
        <v>424</v>
      </c>
      <c r="D46" s="1" t="s">
        <v>410</v>
      </c>
      <c r="E46" s="1" t="s">
        <v>69</v>
      </c>
      <c r="G46" s="1" t="s">
        <v>69</v>
      </c>
    </row>
    <row r="47" spans="1:7" x14ac:dyDescent="0.3">
      <c r="A47" s="1" t="s">
        <v>444</v>
      </c>
      <c r="B47" s="1" t="s">
        <v>13</v>
      </c>
      <c r="C47" s="1" t="s">
        <v>392</v>
      </c>
      <c r="D47" s="1" t="s">
        <v>385</v>
      </c>
      <c r="E47" s="1" t="s">
        <v>235</v>
      </c>
      <c r="F47">
        <v>8600</v>
      </c>
      <c r="G47" s="1" t="s">
        <v>85</v>
      </c>
    </row>
    <row r="48" spans="1:7" x14ac:dyDescent="0.3">
      <c r="A48" s="1" t="s">
        <v>445</v>
      </c>
      <c r="B48" s="1" t="s">
        <v>16</v>
      </c>
      <c r="C48" s="1" t="s">
        <v>389</v>
      </c>
      <c r="D48" s="1" t="s">
        <v>405</v>
      </c>
      <c r="E48" s="1" t="s">
        <v>87</v>
      </c>
      <c r="G48" s="1" t="s">
        <v>55</v>
      </c>
    </row>
    <row r="49" spans="1:7" x14ac:dyDescent="0.3">
      <c r="A49" s="1" t="s">
        <v>316</v>
      </c>
      <c r="B49" s="1" t="s">
        <v>21</v>
      </c>
      <c r="C49" s="1" t="s">
        <v>257</v>
      </c>
      <c r="D49" s="1" t="s">
        <v>383</v>
      </c>
      <c r="E49" s="1" t="s">
        <v>51</v>
      </c>
      <c r="F49">
        <v>3000</v>
      </c>
      <c r="G49" s="1" t="s">
        <v>52</v>
      </c>
    </row>
    <row r="50" spans="1:7" x14ac:dyDescent="0.3">
      <c r="A50" s="1" t="s">
        <v>446</v>
      </c>
      <c r="B50" s="1" t="s">
        <v>14</v>
      </c>
      <c r="C50" s="1" t="s">
        <v>428</v>
      </c>
      <c r="D50" s="1" t="s">
        <v>431</v>
      </c>
      <c r="E50" s="1" t="s">
        <v>78</v>
      </c>
      <c r="F50">
        <v>4500</v>
      </c>
      <c r="G50" s="1" t="s">
        <v>57</v>
      </c>
    </row>
    <row r="51" spans="1:7" x14ac:dyDescent="0.3">
      <c r="A51" s="1" t="s">
        <v>447</v>
      </c>
      <c r="B51" s="1" t="s">
        <v>18</v>
      </c>
      <c r="C51" s="1" t="s">
        <v>381</v>
      </c>
      <c r="D51" s="1" t="s">
        <v>382</v>
      </c>
      <c r="E51" s="1" t="s">
        <v>51</v>
      </c>
      <c r="F51">
        <v>3000</v>
      </c>
      <c r="G51" s="1" t="s">
        <v>52</v>
      </c>
    </row>
    <row r="52" spans="1:7" x14ac:dyDescent="0.3">
      <c r="A52" s="1" t="s">
        <v>448</v>
      </c>
      <c r="B52" s="1" t="s">
        <v>16</v>
      </c>
      <c r="C52" s="1" t="s">
        <v>381</v>
      </c>
      <c r="D52" s="1" t="s">
        <v>382</v>
      </c>
      <c r="E52" s="1" t="s">
        <v>72</v>
      </c>
      <c r="F52">
        <v>3000</v>
      </c>
      <c r="G52" s="1" t="s">
        <v>52</v>
      </c>
    </row>
    <row r="53" spans="1:7" x14ac:dyDescent="0.3">
      <c r="A53" s="1" t="s">
        <v>449</v>
      </c>
      <c r="B53" s="1" t="s">
        <v>13</v>
      </c>
      <c r="C53" s="1" t="s">
        <v>424</v>
      </c>
      <c r="D53" s="1" t="s">
        <v>410</v>
      </c>
      <c r="E53" s="1" t="s">
        <v>69</v>
      </c>
      <c r="G53" s="1" t="s">
        <v>69</v>
      </c>
    </row>
    <row r="54" spans="1:7" x14ac:dyDescent="0.3">
      <c r="A54" s="1" t="s">
        <v>450</v>
      </c>
      <c r="B54" s="1" t="s">
        <v>16</v>
      </c>
      <c r="C54" s="1" t="s">
        <v>388</v>
      </c>
      <c r="D54" s="1" t="s">
        <v>389</v>
      </c>
      <c r="E54" s="1" t="s">
        <v>89</v>
      </c>
      <c r="F54">
        <v>4100</v>
      </c>
      <c r="G54" s="1" t="s">
        <v>63</v>
      </c>
    </row>
    <row r="55" spans="1:7" x14ac:dyDescent="0.3">
      <c r="A55" s="1" t="s">
        <v>451</v>
      </c>
      <c r="B55" s="1" t="s">
        <v>21</v>
      </c>
      <c r="C55" s="1" t="s">
        <v>424</v>
      </c>
      <c r="D55" s="1" t="s">
        <v>410</v>
      </c>
      <c r="E55" s="1" t="s">
        <v>69</v>
      </c>
      <c r="G55" s="1" t="s">
        <v>69</v>
      </c>
    </row>
    <row r="56" spans="1:7" x14ac:dyDescent="0.3">
      <c r="A56" s="1" t="s">
        <v>452</v>
      </c>
      <c r="B56" s="1" t="s">
        <v>13</v>
      </c>
      <c r="C56" s="1" t="s">
        <v>392</v>
      </c>
      <c r="D56" s="1" t="s">
        <v>385</v>
      </c>
      <c r="E56" s="1" t="s">
        <v>71</v>
      </c>
      <c r="F56">
        <v>4500</v>
      </c>
      <c r="G56" s="1" t="s">
        <v>66</v>
      </c>
    </row>
    <row r="57" spans="1:7" x14ac:dyDescent="0.3">
      <c r="A57" s="1" t="s">
        <v>453</v>
      </c>
      <c r="B57" s="1" t="s">
        <v>18</v>
      </c>
      <c r="C57" s="1" t="s">
        <v>410</v>
      </c>
      <c r="D57" s="1" t="s">
        <v>411</v>
      </c>
      <c r="E57" s="1" t="s">
        <v>72</v>
      </c>
      <c r="G57" s="1" t="s">
        <v>52</v>
      </c>
    </row>
    <row r="58" spans="1:7" x14ac:dyDescent="0.3">
      <c r="A58" s="1" t="s">
        <v>454</v>
      </c>
      <c r="B58" s="1" t="s">
        <v>16</v>
      </c>
      <c r="C58" s="1" t="s">
        <v>401</v>
      </c>
      <c r="D58" s="1" t="s">
        <v>402</v>
      </c>
      <c r="E58" s="1" t="s">
        <v>100</v>
      </c>
      <c r="F58">
        <v>6900</v>
      </c>
      <c r="G58" s="1" t="s">
        <v>96</v>
      </c>
    </row>
    <row r="59" spans="1:7" x14ac:dyDescent="0.3">
      <c r="A59" s="1" t="s">
        <v>455</v>
      </c>
      <c r="B59" s="1" t="s">
        <v>16</v>
      </c>
      <c r="C59" s="1" t="s">
        <v>383</v>
      </c>
      <c r="D59" s="1" t="s">
        <v>305</v>
      </c>
      <c r="E59" s="1" t="s">
        <v>62</v>
      </c>
      <c r="G59" s="1" t="s">
        <v>79</v>
      </c>
    </row>
    <row r="60" spans="1:7" x14ac:dyDescent="0.3">
      <c r="A60" s="1" t="s">
        <v>456</v>
      </c>
      <c r="B60" s="1" t="s">
        <v>18</v>
      </c>
      <c r="C60" s="1" t="s">
        <v>424</v>
      </c>
      <c r="D60" s="1" t="s">
        <v>410</v>
      </c>
      <c r="E60" s="1" t="s">
        <v>67</v>
      </c>
      <c r="G60" s="1" t="s">
        <v>217</v>
      </c>
    </row>
    <row r="61" spans="1:7" x14ac:dyDescent="0.3">
      <c r="A61" s="1" t="s">
        <v>317</v>
      </c>
      <c r="B61" s="1" t="s">
        <v>21</v>
      </c>
      <c r="C61" s="1" t="s">
        <v>251</v>
      </c>
      <c r="D61" s="1" t="s">
        <v>398</v>
      </c>
      <c r="E61" s="1" t="s">
        <v>62</v>
      </c>
      <c r="F61">
        <v>5500</v>
      </c>
      <c r="G61" s="1" t="s">
        <v>55</v>
      </c>
    </row>
    <row r="62" spans="1:7" x14ac:dyDescent="0.3">
      <c r="A62" s="1" t="s">
        <v>457</v>
      </c>
      <c r="B62" s="1" t="s">
        <v>14</v>
      </c>
      <c r="C62" s="1" t="s">
        <v>382</v>
      </c>
      <c r="D62" s="1" t="s">
        <v>414</v>
      </c>
      <c r="E62" s="1" t="s">
        <v>218</v>
      </c>
      <c r="F62">
        <v>4000</v>
      </c>
      <c r="G62" s="1" t="s">
        <v>66</v>
      </c>
    </row>
    <row r="63" spans="1:7" x14ac:dyDescent="0.3">
      <c r="A63" s="1" t="s">
        <v>458</v>
      </c>
      <c r="B63" s="1" t="s">
        <v>21</v>
      </c>
      <c r="C63" s="1" t="s">
        <v>383</v>
      </c>
      <c r="D63" s="1" t="s">
        <v>305</v>
      </c>
      <c r="E63" s="1" t="s">
        <v>419</v>
      </c>
      <c r="G63" s="1" t="s">
        <v>96</v>
      </c>
    </row>
    <row r="64" spans="1:7" x14ac:dyDescent="0.3">
      <c r="A64" s="1" t="s">
        <v>459</v>
      </c>
      <c r="B64" s="1" t="s">
        <v>21</v>
      </c>
      <c r="C64" s="1" t="s">
        <v>428</v>
      </c>
      <c r="D64" s="1" t="s">
        <v>431</v>
      </c>
      <c r="E64" s="1" t="s">
        <v>51</v>
      </c>
      <c r="F64">
        <v>3000</v>
      </c>
      <c r="G64" s="1" t="s">
        <v>52</v>
      </c>
    </row>
    <row r="65" spans="1:7" x14ac:dyDescent="0.3">
      <c r="A65" s="1" t="s">
        <v>318</v>
      </c>
      <c r="B65" s="1" t="s">
        <v>16</v>
      </c>
      <c r="C65" s="1" t="s">
        <v>257</v>
      </c>
      <c r="D65" s="1" t="s">
        <v>383</v>
      </c>
      <c r="E65" s="1" t="s">
        <v>51</v>
      </c>
      <c r="F65">
        <v>3500</v>
      </c>
      <c r="G65" s="1" t="s">
        <v>52</v>
      </c>
    </row>
    <row r="66" spans="1:7" x14ac:dyDescent="0.3">
      <c r="A66" s="1" t="s">
        <v>319</v>
      </c>
      <c r="B66" s="1" t="s">
        <v>13</v>
      </c>
      <c r="C66" s="1" t="s">
        <v>257</v>
      </c>
      <c r="D66" s="1" t="s">
        <v>383</v>
      </c>
      <c r="E66" s="1" t="s">
        <v>51</v>
      </c>
      <c r="F66">
        <v>3000</v>
      </c>
      <c r="G66" s="1" t="s">
        <v>52</v>
      </c>
    </row>
    <row r="67" spans="1:7" x14ac:dyDescent="0.3">
      <c r="A67" s="1" t="s">
        <v>460</v>
      </c>
      <c r="B67" s="1" t="s">
        <v>21</v>
      </c>
      <c r="C67" s="1" t="s">
        <v>401</v>
      </c>
      <c r="D67" s="1" t="s">
        <v>402</v>
      </c>
      <c r="E67" s="1" t="s">
        <v>51</v>
      </c>
      <c r="F67">
        <v>3000</v>
      </c>
      <c r="G67" s="1" t="s">
        <v>52</v>
      </c>
    </row>
    <row r="68" spans="1:7" x14ac:dyDescent="0.3">
      <c r="A68" s="1" t="s">
        <v>461</v>
      </c>
      <c r="B68" s="1" t="s">
        <v>21</v>
      </c>
      <c r="C68" s="1" t="s">
        <v>401</v>
      </c>
      <c r="D68" s="1" t="s">
        <v>402</v>
      </c>
      <c r="E68" s="1" t="s">
        <v>51</v>
      </c>
      <c r="F68">
        <v>3000</v>
      </c>
      <c r="G68" s="1" t="s">
        <v>52</v>
      </c>
    </row>
    <row r="69" spans="1:7" x14ac:dyDescent="0.3">
      <c r="A69" s="1" t="s">
        <v>462</v>
      </c>
      <c r="B69" s="1" t="s">
        <v>18</v>
      </c>
      <c r="C69" s="1" t="s">
        <v>388</v>
      </c>
      <c r="D69" s="1" t="s">
        <v>389</v>
      </c>
      <c r="E69" s="1" t="s">
        <v>98</v>
      </c>
      <c r="F69">
        <v>3900</v>
      </c>
      <c r="G69" s="1" t="s">
        <v>52</v>
      </c>
    </row>
    <row r="70" spans="1:7" x14ac:dyDescent="0.3">
      <c r="A70" s="1" t="s">
        <v>463</v>
      </c>
      <c r="B70" s="1" t="s">
        <v>13</v>
      </c>
      <c r="C70" s="1" t="s">
        <v>396</v>
      </c>
      <c r="D70" s="1" t="s">
        <v>397</v>
      </c>
      <c r="E70" s="1" t="s">
        <v>69</v>
      </c>
      <c r="F70">
        <v>3000</v>
      </c>
      <c r="G70" s="1" t="s">
        <v>69</v>
      </c>
    </row>
    <row r="71" spans="1:7" x14ac:dyDescent="0.3">
      <c r="A71" s="1" t="s">
        <v>321</v>
      </c>
      <c r="B71" s="1" t="s">
        <v>16</v>
      </c>
      <c r="C71" s="1" t="s">
        <v>257</v>
      </c>
      <c r="D71" s="1" t="s">
        <v>383</v>
      </c>
      <c r="E71" s="1" t="s">
        <v>65</v>
      </c>
      <c r="F71">
        <v>6200</v>
      </c>
      <c r="G71" s="1" t="s">
        <v>61</v>
      </c>
    </row>
    <row r="72" spans="1:7" x14ac:dyDescent="0.3">
      <c r="A72" s="1" t="s">
        <v>464</v>
      </c>
      <c r="B72" s="1" t="s">
        <v>18</v>
      </c>
      <c r="C72" s="1" t="s">
        <v>401</v>
      </c>
      <c r="D72" s="1" t="s">
        <v>402</v>
      </c>
      <c r="E72" s="1" t="s">
        <v>74</v>
      </c>
      <c r="F72">
        <v>3800</v>
      </c>
      <c r="G72" s="1" t="s">
        <v>59</v>
      </c>
    </row>
    <row r="73" spans="1:7" x14ac:dyDescent="0.3">
      <c r="A73" s="1" t="s">
        <v>465</v>
      </c>
      <c r="B73" s="1" t="s">
        <v>14</v>
      </c>
      <c r="C73" s="1" t="s">
        <v>424</v>
      </c>
      <c r="D73" s="1" t="s">
        <v>410</v>
      </c>
      <c r="E73" s="1" t="s">
        <v>78</v>
      </c>
      <c r="G73" s="1" t="s">
        <v>66</v>
      </c>
    </row>
    <row r="74" spans="1:7" x14ac:dyDescent="0.3">
      <c r="A74" s="1" t="s">
        <v>466</v>
      </c>
      <c r="B74" s="1" t="s">
        <v>13</v>
      </c>
      <c r="C74" s="1" t="s">
        <v>381</v>
      </c>
      <c r="D74" s="1" t="s">
        <v>382</v>
      </c>
      <c r="E74" s="1" t="s">
        <v>218</v>
      </c>
      <c r="F74">
        <v>3600</v>
      </c>
      <c r="G74" s="1" t="s">
        <v>59</v>
      </c>
    </row>
    <row r="75" spans="1:7" x14ac:dyDescent="0.3">
      <c r="A75" s="1" t="s">
        <v>467</v>
      </c>
      <c r="B75" s="1" t="s">
        <v>16</v>
      </c>
      <c r="C75" s="1" t="s">
        <v>427</v>
      </c>
      <c r="D75" s="1" t="s">
        <v>428</v>
      </c>
      <c r="E75" s="1" t="s">
        <v>90</v>
      </c>
      <c r="F75">
        <v>3000</v>
      </c>
      <c r="G75" s="1" t="s">
        <v>52</v>
      </c>
    </row>
    <row r="76" spans="1:7" x14ac:dyDescent="0.3">
      <c r="A76" s="1" t="s">
        <v>468</v>
      </c>
      <c r="B76" s="1" t="s">
        <v>21</v>
      </c>
      <c r="C76" s="1" t="s">
        <v>428</v>
      </c>
      <c r="D76" s="1" t="s">
        <v>431</v>
      </c>
      <c r="E76" s="1" t="s">
        <v>234</v>
      </c>
      <c r="F76">
        <v>8100</v>
      </c>
      <c r="G76" s="1" t="s">
        <v>54</v>
      </c>
    </row>
    <row r="77" spans="1:7" x14ac:dyDescent="0.3">
      <c r="A77" s="1" t="s">
        <v>469</v>
      </c>
      <c r="B77" s="1" t="s">
        <v>13</v>
      </c>
      <c r="C77" s="1" t="s">
        <v>398</v>
      </c>
      <c r="D77" s="1" t="s">
        <v>311</v>
      </c>
      <c r="E77" s="1" t="s">
        <v>72</v>
      </c>
      <c r="F77">
        <v>3500</v>
      </c>
      <c r="G77" s="1" t="s">
        <v>52</v>
      </c>
    </row>
    <row r="78" spans="1:7" x14ac:dyDescent="0.3">
      <c r="A78" s="1" t="s">
        <v>470</v>
      </c>
      <c r="B78" s="1" t="s">
        <v>13</v>
      </c>
      <c r="C78" s="1" t="s">
        <v>401</v>
      </c>
      <c r="D78" s="1" t="s">
        <v>402</v>
      </c>
      <c r="E78" s="1" t="s">
        <v>74</v>
      </c>
      <c r="F78">
        <v>3200</v>
      </c>
      <c r="G78" s="1" t="s">
        <v>52</v>
      </c>
    </row>
    <row r="79" spans="1:7" x14ac:dyDescent="0.3">
      <c r="A79" s="1" t="s">
        <v>471</v>
      </c>
      <c r="B79" s="1" t="s">
        <v>21</v>
      </c>
      <c r="C79" s="1" t="s">
        <v>388</v>
      </c>
      <c r="D79" s="1" t="s">
        <v>389</v>
      </c>
      <c r="E79" s="1" t="s">
        <v>64</v>
      </c>
      <c r="F79">
        <v>3100</v>
      </c>
      <c r="G79" s="1" t="s">
        <v>52</v>
      </c>
    </row>
    <row r="80" spans="1:7" x14ac:dyDescent="0.3">
      <c r="A80" s="1" t="s">
        <v>322</v>
      </c>
      <c r="B80" s="1" t="s">
        <v>14</v>
      </c>
      <c r="C80" s="1" t="s">
        <v>257</v>
      </c>
      <c r="D80" s="1" t="s">
        <v>383</v>
      </c>
      <c r="E80" s="1" t="s">
        <v>98</v>
      </c>
      <c r="F80">
        <v>3300</v>
      </c>
      <c r="G80" s="1" t="s">
        <v>52</v>
      </c>
    </row>
    <row r="81" spans="1:7" x14ac:dyDescent="0.3">
      <c r="A81" s="1" t="s">
        <v>472</v>
      </c>
      <c r="B81" s="1" t="s">
        <v>18</v>
      </c>
      <c r="C81" s="1" t="s">
        <v>398</v>
      </c>
      <c r="D81" s="1" t="s">
        <v>311</v>
      </c>
      <c r="E81" s="1" t="s">
        <v>102</v>
      </c>
      <c r="F81">
        <v>3300</v>
      </c>
      <c r="G81" s="1" t="s">
        <v>59</v>
      </c>
    </row>
    <row r="82" spans="1:7" x14ac:dyDescent="0.3">
      <c r="A82" s="1" t="s">
        <v>473</v>
      </c>
      <c r="B82" s="1" t="s">
        <v>21</v>
      </c>
      <c r="C82" s="1" t="s">
        <v>388</v>
      </c>
      <c r="D82" s="1" t="s">
        <v>389</v>
      </c>
      <c r="E82" s="1" t="s">
        <v>213</v>
      </c>
      <c r="F82">
        <v>7500</v>
      </c>
      <c r="G82" s="1" t="s">
        <v>54</v>
      </c>
    </row>
    <row r="83" spans="1:7" x14ac:dyDescent="0.3">
      <c r="A83" s="1" t="s">
        <v>474</v>
      </c>
      <c r="B83" s="1" t="s">
        <v>14</v>
      </c>
      <c r="C83" s="1" t="s">
        <v>424</v>
      </c>
      <c r="D83" s="1" t="s">
        <v>410</v>
      </c>
      <c r="E83" s="1" t="s">
        <v>64</v>
      </c>
      <c r="G83" s="1" t="s">
        <v>52</v>
      </c>
    </row>
    <row r="84" spans="1:7" x14ac:dyDescent="0.3">
      <c r="A84" s="1" t="s">
        <v>475</v>
      </c>
      <c r="B84" s="1" t="s">
        <v>16</v>
      </c>
      <c r="C84" s="1" t="s">
        <v>428</v>
      </c>
      <c r="D84" s="1" t="s">
        <v>431</v>
      </c>
      <c r="E84" s="1" t="s">
        <v>51</v>
      </c>
      <c r="F84">
        <v>3000</v>
      </c>
      <c r="G84" s="1" t="s">
        <v>52</v>
      </c>
    </row>
    <row r="85" spans="1:7" x14ac:dyDescent="0.3">
      <c r="A85" s="1" t="s">
        <v>476</v>
      </c>
      <c r="B85" s="1" t="s">
        <v>18</v>
      </c>
      <c r="C85" s="1" t="s">
        <v>389</v>
      </c>
      <c r="D85" s="1" t="s">
        <v>405</v>
      </c>
      <c r="E85" s="1" t="s">
        <v>51</v>
      </c>
      <c r="G85" s="1" t="s">
        <v>52</v>
      </c>
    </row>
    <row r="86" spans="1:7" x14ac:dyDescent="0.3">
      <c r="A86" s="1" t="s">
        <v>477</v>
      </c>
      <c r="B86" s="1" t="s">
        <v>14</v>
      </c>
      <c r="C86" s="1" t="s">
        <v>398</v>
      </c>
      <c r="D86" s="1" t="s">
        <v>311</v>
      </c>
      <c r="E86" s="1" t="s">
        <v>86</v>
      </c>
      <c r="F86">
        <v>3400</v>
      </c>
      <c r="G86" s="1" t="s">
        <v>52</v>
      </c>
    </row>
    <row r="87" spans="1:7" x14ac:dyDescent="0.3">
      <c r="A87" s="1" t="s">
        <v>478</v>
      </c>
      <c r="B87" s="1" t="s">
        <v>13</v>
      </c>
      <c r="C87" s="1" t="s">
        <v>401</v>
      </c>
      <c r="D87" s="1" t="s">
        <v>402</v>
      </c>
      <c r="E87" s="1" t="s">
        <v>69</v>
      </c>
      <c r="F87">
        <v>3000</v>
      </c>
      <c r="G87" s="1" t="s">
        <v>69</v>
      </c>
    </row>
    <row r="88" spans="1:7" x14ac:dyDescent="0.3">
      <c r="A88" s="1" t="s">
        <v>479</v>
      </c>
      <c r="B88" s="1" t="s">
        <v>21</v>
      </c>
      <c r="C88" s="1" t="s">
        <v>408</v>
      </c>
      <c r="D88" s="1" t="s">
        <v>401</v>
      </c>
      <c r="E88" s="1" t="s">
        <v>480</v>
      </c>
      <c r="F88">
        <v>9700</v>
      </c>
      <c r="G88" s="1" t="s">
        <v>214</v>
      </c>
    </row>
    <row r="89" spans="1:7" x14ac:dyDescent="0.3">
      <c r="A89" s="1" t="s">
        <v>481</v>
      </c>
      <c r="B89" s="1" t="s">
        <v>21</v>
      </c>
      <c r="C89" s="1" t="s">
        <v>424</v>
      </c>
      <c r="D89" s="1" t="s">
        <v>410</v>
      </c>
      <c r="E89" s="1" t="s">
        <v>211</v>
      </c>
      <c r="G89" s="1" t="s">
        <v>66</v>
      </c>
    </row>
    <row r="90" spans="1:7" x14ac:dyDescent="0.3">
      <c r="A90" s="1" t="s">
        <v>324</v>
      </c>
      <c r="B90" s="1" t="s">
        <v>13</v>
      </c>
      <c r="C90" s="1" t="s">
        <v>251</v>
      </c>
      <c r="D90" s="1" t="s">
        <v>398</v>
      </c>
      <c r="E90" s="1" t="s">
        <v>482</v>
      </c>
      <c r="F90">
        <v>8400</v>
      </c>
      <c r="G90" s="1" t="s">
        <v>325</v>
      </c>
    </row>
    <row r="91" spans="1:7" x14ac:dyDescent="0.3">
      <c r="A91" s="1" t="s">
        <v>326</v>
      </c>
      <c r="B91" s="1" t="s">
        <v>14</v>
      </c>
      <c r="C91" s="1" t="s">
        <v>257</v>
      </c>
      <c r="D91" s="1" t="s">
        <v>383</v>
      </c>
      <c r="E91" s="1" t="s">
        <v>86</v>
      </c>
      <c r="F91">
        <v>4200</v>
      </c>
      <c r="G91" s="1" t="s">
        <v>63</v>
      </c>
    </row>
    <row r="92" spans="1:7" x14ac:dyDescent="0.3">
      <c r="A92" s="1" t="s">
        <v>483</v>
      </c>
      <c r="B92" s="1" t="s">
        <v>21</v>
      </c>
      <c r="C92" s="1" t="s">
        <v>385</v>
      </c>
      <c r="D92" s="1" t="s">
        <v>386</v>
      </c>
      <c r="E92" s="1" t="s">
        <v>77</v>
      </c>
      <c r="F92">
        <v>4800</v>
      </c>
      <c r="G92" s="1" t="s">
        <v>101</v>
      </c>
    </row>
    <row r="93" spans="1:7" x14ac:dyDescent="0.3">
      <c r="A93" s="1" t="s">
        <v>484</v>
      </c>
      <c r="B93" s="1" t="s">
        <v>14</v>
      </c>
      <c r="C93" s="1" t="s">
        <v>427</v>
      </c>
      <c r="D93" s="1" t="s">
        <v>428</v>
      </c>
      <c r="E93" s="1" t="s">
        <v>97</v>
      </c>
      <c r="F93">
        <v>3000</v>
      </c>
      <c r="G93" s="1" t="s">
        <v>52</v>
      </c>
    </row>
    <row r="94" spans="1:7" x14ac:dyDescent="0.3">
      <c r="A94" s="1" t="s">
        <v>327</v>
      </c>
      <c r="B94" s="1" t="s">
        <v>14</v>
      </c>
      <c r="C94" s="1" t="s">
        <v>251</v>
      </c>
      <c r="D94" s="1" t="s">
        <v>398</v>
      </c>
      <c r="E94" s="1" t="s">
        <v>90</v>
      </c>
      <c r="F94">
        <v>3300</v>
      </c>
      <c r="G94" s="1" t="s">
        <v>52</v>
      </c>
    </row>
    <row r="95" spans="1:7" x14ac:dyDescent="0.3">
      <c r="A95" s="1" t="s">
        <v>485</v>
      </c>
      <c r="B95" s="1" t="s">
        <v>21</v>
      </c>
      <c r="C95" s="1" t="s">
        <v>396</v>
      </c>
      <c r="D95" s="1" t="s">
        <v>397</v>
      </c>
      <c r="E95" s="1" t="s">
        <v>78</v>
      </c>
      <c r="F95">
        <v>6700</v>
      </c>
      <c r="G95" s="1" t="s">
        <v>79</v>
      </c>
    </row>
    <row r="96" spans="1:7" x14ac:dyDescent="0.3">
      <c r="A96" s="1" t="s">
        <v>486</v>
      </c>
      <c r="B96" s="1" t="s">
        <v>21</v>
      </c>
      <c r="C96" s="1" t="s">
        <v>408</v>
      </c>
      <c r="D96" s="1" t="s">
        <v>401</v>
      </c>
      <c r="E96" s="1" t="s">
        <v>219</v>
      </c>
      <c r="F96">
        <v>6900</v>
      </c>
      <c r="G96" s="1" t="s">
        <v>54</v>
      </c>
    </row>
    <row r="97" spans="1:7" x14ac:dyDescent="0.3">
      <c r="A97" s="1" t="s">
        <v>487</v>
      </c>
      <c r="B97" s="1" t="s">
        <v>13</v>
      </c>
      <c r="C97" s="1" t="s">
        <v>408</v>
      </c>
      <c r="D97" s="1" t="s">
        <v>401</v>
      </c>
      <c r="E97" s="1" t="s">
        <v>233</v>
      </c>
      <c r="F97">
        <v>4100</v>
      </c>
      <c r="G97" s="1" t="s">
        <v>63</v>
      </c>
    </row>
    <row r="98" spans="1:7" x14ac:dyDescent="0.3">
      <c r="A98" s="1" t="s">
        <v>329</v>
      </c>
      <c r="B98" s="1" t="s">
        <v>21</v>
      </c>
      <c r="C98" s="1" t="s">
        <v>251</v>
      </c>
      <c r="D98" s="1" t="s">
        <v>398</v>
      </c>
      <c r="E98" s="1" t="s">
        <v>51</v>
      </c>
      <c r="F98">
        <v>3000</v>
      </c>
      <c r="G98" s="1" t="s">
        <v>52</v>
      </c>
    </row>
    <row r="99" spans="1:7" x14ac:dyDescent="0.3">
      <c r="A99" s="1" t="s">
        <v>488</v>
      </c>
      <c r="B99" s="1" t="s">
        <v>16</v>
      </c>
      <c r="C99" s="1" t="s">
        <v>408</v>
      </c>
      <c r="D99" s="1" t="s">
        <v>401</v>
      </c>
      <c r="E99" s="1" t="s">
        <v>86</v>
      </c>
      <c r="F99">
        <v>3400</v>
      </c>
      <c r="G99" s="1" t="s">
        <v>52</v>
      </c>
    </row>
    <row r="100" spans="1:7" x14ac:dyDescent="0.3">
      <c r="A100" s="1" t="s">
        <v>489</v>
      </c>
      <c r="B100" s="1" t="s">
        <v>18</v>
      </c>
      <c r="C100" s="1" t="s">
        <v>410</v>
      </c>
      <c r="D100" s="1" t="s">
        <v>411</v>
      </c>
      <c r="E100" s="1" t="s">
        <v>89</v>
      </c>
      <c r="G100" s="1" t="s">
        <v>101</v>
      </c>
    </row>
    <row r="101" spans="1:7" x14ac:dyDescent="0.3">
      <c r="A101" s="1" t="s">
        <v>490</v>
      </c>
      <c r="B101" s="1" t="s">
        <v>16</v>
      </c>
      <c r="C101" s="1" t="s">
        <v>392</v>
      </c>
      <c r="D101" s="1" t="s">
        <v>385</v>
      </c>
      <c r="E101" s="1" t="s">
        <v>491</v>
      </c>
      <c r="F101">
        <v>10000</v>
      </c>
      <c r="G101" s="1" t="s">
        <v>236</v>
      </c>
    </row>
    <row r="102" spans="1:7" x14ac:dyDescent="0.3">
      <c r="A102" s="1" t="s">
        <v>492</v>
      </c>
      <c r="B102" s="1" t="s">
        <v>13</v>
      </c>
      <c r="C102" s="1" t="s">
        <v>427</v>
      </c>
      <c r="D102" s="1" t="s">
        <v>428</v>
      </c>
      <c r="E102" s="1" t="s">
        <v>328</v>
      </c>
      <c r="F102">
        <v>9400</v>
      </c>
      <c r="G102" s="1" t="s">
        <v>360</v>
      </c>
    </row>
    <row r="103" spans="1:7" x14ac:dyDescent="0.3">
      <c r="A103" s="1" t="s">
        <v>493</v>
      </c>
      <c r="B103" s="1" t="s">
        <v>14</v>
      </c>
      <c r="C103" s="1" t="s">
        <v>397</v>
      </c>
      <c r="D103" s="1" t="s">
        <v>422</v>
      </c>
      <c r="E103" s="1" t="s">
        <v>77</v>
      </c>
      <c r="G103" s="1" t="s">
        <v>55</v>
      </c>
    </row>
    <row r="104" spans="1:7" x14ac:dyDescent="0.3">
      <c r="A104" s="1" t="s">
        <v>494</v>
      </c>
      <c r="B104" s="1" t="s">
        <v>14</v>
      </c>
      <c r="C104" s="1" t="s">
        <v>408</v>
      </c>
      <c r="D104" s="1" t="s">
        <v>401</v>
      </c>
      <c r="E104" s="1" t="s">
        <v>90</v>
      </c>
      <c r="F104">
        <v>3800</v>
      </c>
      <c r="G104" s="1" t="s">
        <v>52</v>
      </c>
    </row>
    <row r="105" spans="1:7" x14ac:dyDescent="0.3">
      <c r="A105" s="1" t="s">
        <v>495</v>
      </c>
      <c r="B105" s="1" t="s">
        <v>18</v>
      </c>
      <c r="C105" s="1" t="s">
        <v>408</v>
      </c>
      <c r="D105" s="1" t="s">
        <v>401</v>
      </c>
      <c r="E105" s="1" t="s">
        <v>98</v>
      </c>
      <c r="F105">
        <v>3000</v>
      </c>
      <c r="G105" s="1" t="s">
        <v>52</v>
      </c>
    </row>
    <row r="106" spans="1:7" x14ac:dyDescent="0.3">
      <c r="A106" s="1" t="s">
        <v>496</v>
      </c>
      <c r="B106" s="1" t="s">
        <v>21</v>
      </c>
      <c r="C106" s="1" t="s">
        <v>392</v>
      </c>
      <c r="D106" s="1" t="s">
        <v>385</v>
      </c>
      <c r="E106" s="1" t="s">
        <v>74</v>
      </c>
      <c r="F106">
        <v>4700</v>
      </c>
      <c r="G106" s="1" t="s">
        <v>52</v>
      </c>
    </row>
    <row r="107" spans="1:7" x14ac:dyDescent="0.3">
      <c r="A107" s="1" t="s">
        <v>497</v>
      </c>
      <c r="B107" s="1" t="s">
        <v>14</v>
      </c>
      <c r="C107" s="1" t="s">
        <v>410</v>
      </c>
      <c r="D107" s="1" t="s">
        <v>411</v>
      </c>
      <c r="E107" s="1" t="s">
        <v>88</v>
      </c>
      <c r="G107" s="1" t="s">
        <v>63</v>
      </c>
    </row>
    <row r="108" spans="1:7" x14ac:dyDescent="0.3">
      <c r="A108" s="1" t="s">
        <v>498</v>
      </c>
      <c r="B108" s="1" t="s">
        <v>18</v>
      </c>
      <c r="C108" s="1" t="s">
        <v>389</v>
      </c>
      <c r="D108" s="1" t="s">
        <v>405</v>
      </c>
      <c r="E108" s="1" t="s">
        <v>58</v>
      </c>
      <c r="G108" s="1" t="s">
        <v>52</v>
      </c>
    </row>
    <row r="109" spans="1:7" x14ac:dyDescent="0.3">
      <c r="A109" s="1" t="s">
        <v>499</v>
      </c>
      <c r="B109" s="1" t="s">
        <v>16</v>
      </c>
      <c r="C109" s="1" t="s">
        <v>397</v>
      </c>
      <c r="D109" s="1" t="s">
        <v>422</v>
      </c>
      <c r="E109" s="1" t="s">
        <v>218</v>
      </c>
      <c r="G109" s="1" t="s">
        <v>52</v>
      </c>
    </row>
    <row r="110" spans="1:7" x14ac:dyDescent="0.3">
      <c r="A110" s="1" t="s">
        <v>500</v>
      </c>
      <c r="B110" s="1" t="s">
        <v>14</v>
      </c>
      <c r="C110" s="1" t="s">
        <v>428</v>
      </c>
      <c r="D110" s="1" t="s">
        <v>431</v>
      </c>
      <c r="E110" s="1" t="s">
        <v>90</v>
      </c>
      <c r="F110">
        <v>3000</v>
      </c>
      <c r="G110" s="1" t="s">
        <v>52</v>
      </c>
    </row>
    <row r="111" spans="1:7" x14ac:dyDescent="0.3">
      <c r="A111" s="1" t="s">
        <v>501</v>
      </c>
      <c r="B111" s="1" t="s">
        <v>13</v>
      </c>
      <c r="C111" s="1" t="s">
        <v>383</v>
      </c>
      <c r="D111" s="1" t="s">
        <v>305</v>
      </c>
      <c r="E111" s="1" t="s">
        <v>51</v>
      </c>
      <c r="G111" s="1" t="s">
        <v>52</v>
      </c>
    </row>
    <row r="112" spans="1:7" x14ac:dyDescent="0.3">
      <c r="A112" s="1" t="s">
        <v>502</v>
      </c>
      <c r="B112" s="1" t="s">
        <v>16</v>
      </c>
      <c r="C112" s="1" t="s">
        <v>428</v>
      </c>
      <c r="D112" s="1" t="s">
        <v>431</v>
      </c>
      <c r="E112" s="1" t="s">
        <v>51</v>
      </c>
      <c r="F112">
        <v>3000</v>
      </c>
      <c r="G112" s="1" t="s">
        <v>52</v>
      </c>
    </row>
    <row r="113" spans="1:7" x14ac:dyDescent="0.3">
      <c r="A113" s="1" t="s">
        <v>503</v>
      </c>
      <c r="B113" s="1" t="s">
        <v>13</v>
      </c>
      <c r="C113" s="1" t="s">
        <v>427</v>
      </c>
      <c r="D113" s="1" t="s">
        <v>428</v>
      </c>
      <c r="E113" s="1" t="s">
        <v>58</v>
      </c>
      <c r="F113">
        <v>3000</v>
      </c>
      <c r="G113" s="1" t="s">
        <v>63</v>
      </c>
    </row>
    <row r="114" spans="1:7" x14ac:dyDescent="0.3">
      <c r="A114" s="1" t="s">
        <v>504</v>
      </c>
      <c r="B114" s="1" t="s">
        <v>21</v>
      </c>
      <c r="C114" s="1" t="s">
        <v>388</v>
      </c>
      <c r="D114" s="1" t="s">
        <v>389</v>
      </c>
      <c r="E114" s="1" t="s">
        <v>69</v>
      </c>
      <c r="F114">
        <v>3000</v>
      </c>
      <c r="G114" s="1" t="s">
        <v>69</v>
      </c>
    </row>
    <row r="115" spans="1:7" x14ac:dyDescent="0.3">
      <c r="A115" s="1" t="s">
        <v>505</v>
      </c>
      <c r="B115" s="1" t="s">
        <v>18</v>
      </c>
      <c r="C115" s="1" t="s">
        <v>385</v>
      </c>
      <c r="D115" s="1" t="s">
        <v>386</v>
      </c>
      <c r="E115" s="1" t="s">
        <v>72</v>
      </c>
      <c r="F115">
        <v>3400</v>
      </c>
      <c r="G115" s="1" t="s">
        <v>52</v>
      </c>
    </row>
    <row r="116" spans="1:7" x14ac:dyDescent="0.3">
      <c r="A116" s="1" t="s">
        <v>506</v>
      </c>
      <c r="B116" s="1" t="s">
        <v>13</v>
      </c>
      <c r="C116" s="1" t="s">
        <v>401</v>
      </c>
      <c r="D116" s="1" t="s">
        <v>402</v>
      </c>
      <c r="E116" s="1" t="s">
        <v>97</v>
      </c>
      <c r="F116">
        <v>4500</v>
      </c>
      <c r="G116" s="1" t="s">
        <v>66</v>
      </c>
    </row>
    <row r="117" spans="1:7" x14ac:dyDescent="0.3">
      <c r="A117" s="1" t="s">
        <v>507</v>
      </c>
      <c r="B117" s="1" t="s">
        <v>16</v>
      </c>
      <c r="C117" s="1" t="s">
        <v>427</v>
      </c>
      <c r="D117" s="1" t="s">
        <v>428</v>
      </c>
      <c r="E117" s="1" t="s">
        <v>64</v>
      </c>
      <c r="F117">
        <v>3400</v>
      </c>
      <c r="G117" s="1" t="s">
        <v>52</v>
      </c>
    </row>
    <row r="118" spans="1:7" x14ac:dyDescent="0.3">
      <c r="A118" s="1" t="s">
        <v>330</v>
      </c>
      <c r="B118" s="1" t="s">
        <v>16</v>
      </c>
      <c r="C118" s="1" t="s">
        <v>251</v>
      </c>
      <c r="D118" s="1" t="s">
        <v>398</v>
      </c>
      <c r="E118" s="1" t="s">
        <v>69</v>
      </c>
      <c r="F118">
        <v>3000</v>
      </c>
      <c r="G118" s="1" t="s">
        <v>69</v>
      </c>
    </row>
    <row r="119" spans="1:7" x14ac:dyDescent="0.3">
      <c r="A119" s="1" t="s">
        <v>508</v>
      </c>
      <c r="B119" s="1" t="s">
        <v>14</v>
      </c>
      <c r="C119" s="1" t="s">
        <v>396</v>
      </c>
      <c r="D119" s="1" t="s">
        <v>397</v>
      </c>
      <c r="E119" s="1" t="s">
        <v>65</v>
      </c>
      <c r="F119">
        <v>5000</v>
      </c>
      <c r="G119" s="1" t="s">
        <v>79</v>
      </c>
    </row>
    <row r="120" spans="1:7" x14ac:dyDescent="0.3">
      <c r="A120" s="1" t="s">
        <v>509</v>
      </c>
      <c r="B120" s="1" t="s">
        <v>18</v>
      </c>
      <c r="C120" s="1" t="s">
        <v>428</v>
      </c>
      <c r="D120" s="1" t="s">
        <v>431</v>
      </c>
      <c r="E120" s="1" t="s">
        <v>234</v>
      </c>
      <c r="F120">
        <v>7100</v>
      </c>
      <c r="G120" s="1" t="s">
        <v>54</v>
      </c>
    </row>
    <row r="121" spans="1:7" x14ac:dyDescent="0.3">
      <c r="A121" s="1" t="s">
        <v>510</v>
      </c>
      <c r="B121" s="1" t="s">
        <v>21</v>
      </c>
      <c r="C121" s="1" t="s">
        <v>397</v>
      </c>
      <c r="D121" s="1" t="s">
        <v>422</v>
      </c>
      <c r="E121" s="1" t="s">
        <v>51</v>
      </c>
      <c r="G121" s="1" t="s">
        <v>52</v>
      </c>
    </row>
    <row r="122" spans="1:7" x14ac:dyDescent="0.3">
      <c r="A122" s="1" t="s">
        <v>511</v>
      </c>
      <c r="B122" s="1" t="s">
        <v>13</v>
      </c>
      <c r="C122" s="1" t="s">
        <v>383</v>
      </c>
      <c r="D122" s="1" t="s">
        <v>305</v>
      </c>
      <c r="E122" s="1" t="s">
        <v>215</v>
      </c>
      <c r="G122" s="1" t="s">
        <v>83</v>
      </c>
    </row>
    <row r="123" spans="1:7" x14ac:dyDescent="0.3">
      <c r="A123" s="1" t="s">
        <v>512</v>
      </c>
      <c r="B123" s="1" t="s">
        <v>16</v>
      </c>
      <c r="C123" s="1" t="s">
        <v>383</v>
      </c>
      <c r="D123" s="1" t="s">
        <v>305</v>
      </c>
      <c r="E123" s="1" t="s">
        <v>69</v>
      </c>
      <c r="G123" s="1" t="s">
        <v>52</v>
      </c>
    </row>
    <row r="124" spans="1:7" x14ac:dyDescent="0.3">
      <c r="A124" s="1" t="s">
        <v>513</v>
      </c>
      <c r="B124" s="1" t="s">
        <v>13</v>
      </c>
      <c r="C124" s="1" t="s">
        <v>381</v>
      </c>
      <c r="D124" s="1" t="s">
        <v>382</v>
      </c>
      <c r="E124" s="1" t="s">
        <v>88</v>
      </c>
      <c r="F124">
        <v>5200</v>
      </c>
      <c r="G124" s="1" t="s">
        <v>79</v>
      </c>
    </row>
    <row r="125" spans="1:7" x14ac:dyDescent="0.3">
      <c r="A125" s="1" t="s">
        <v>514</v>
      </c>
      <c r="B125" s="1" t="s">
        <v>21</v>
      </c>
      <c r="C125" s="1" t="s">
        <v>410</v>
      </c>
      <c r="D125" s="1" t="s">
        <v>411</v>
      </c>
      <c r="E125" s="1" t="s">
        <v>95</v>
      </c>
      <c r="G125" s="1" t="s">
        <v>101</v>
      </c>
    </row>
    <row r="126" spans="1:7" x14ac:dyDescent="0.3">
      <c r="A126" s="1" t="s">
        <v>515</v>
      </c>
      <c r="B126" s="1" t="s">
        <v>21</v>
      </c>
      <c r="C126" s="1" t="s">
        <v>401</v>
      </c>
      <c r="D126" s="1" t="s">
        <v>402</v>
      </c>
      <c r="E126" s="1" t="s">
        <v>64</v>
      </c>
      <c r="F126">
        <v>3900</v>
      </c>
      <c r="G126" s="1" t="s">
        <v>52</v>
      </c>
    </row>
    <row r="127" spans="1:7" x14ac:dyDescent="0.3">
      <c r="A127" s="1" t="s">
        <v>516</v>
      </c>
      <c r="B127" s="1" t="s">
        <v>13</v>
      </c>
      <c r="C127" s="1" t="s">
        <v>383</v>
      </c>
      <c r="D127" s="1" t="s">
        <v>305</v>
      </c>
      <c r="E127" s="1" t="s">
        <v>233</v>
      </c>
      <c r="G127" s="1" t="s">
        <v>79</v>
      </c>
    </row>
    <row r="128" spans="1:7" x14ac:dyDescent="0.3">
      <c r="A128" s="1" t="s">
        <v>517</v>
      </c>
      <c r="B128" s="1" t="s">
        <v>14</v>
      </c>
      <c r="C128" s="1" t="s">
        <v>397</v>
      </c>
      <c r="D128" s="1" t="s">
        <v>422</v>
      </c>
      <c r="E128" s="1" t="s">
        <v>69</v>
      </c>
      <c r="G128" s="1" t="s">
        <v>69</v>
      </c>
    </row>
    <row r="129" spans="1:7" x14ac:dyDescent="0.3">
      <c r="A129" s="1" t="s">
        <v>518</v>
      </c>
      <c r="B129" s="1" t="s">
        <v>14</v>
      </c>
      <c r="C129" s="1" t="s">
        <v>381</v>
      </c>
      <c r="D129" s="1" t="s">
        <v>382</v>
      </c>
      <c r="E129" s="1" t="s">
        <v>72</v>
      </c>
      <c r="F129">
        <v>3300</v>
      </c>
      <c r="G129" s="1" t="s">
        <v>52</v>
      </c>
    </row>
    <row r="130" spans="1:7" x14ac:dyDescent="0.3">
      <c r="A130" s="1" t="s">
        <v>519</v>
      </c>
      <c r="B130" s="1" t="s">
        <v>18</v>
      </c>
      <c r="C130" s="1" t="s">
        <v>392</v>
      </c>
      <c r="D130" s="1" t="s">
        <v>385</v>
      </c>
      <c r="E130" s="1" t="s">
        <v>51</v>
      </c>
      <c r="F130">
        <v>3000</v>
      </c>
      <c r="G130" s="1" t="s">
        <v>52</v>
      </c>
    </row>
    <row r="131" spans="1:7" x14ac:dyDescent="0.3">
      <c r="A131" s="1" t="s">
        <v>520</v>
      </c>
      <c r="B131" s="1" t="s">
        <v>14</v>
      </c>
      <c r="C131" s="1" t="s">
        <v>382</v>
      </c>
      <c r="D131" s="1" t="s">
        <v>414</v>
      </c>
      <c r="E131" s="1" t="s">
        <v>232</v>
      </c>
      <c r="F131">
        <v>6500</v>
      </c>
      <c r="G131" s="1" t="s">
        <v>83</v>
      </c>
    </row>
    <row r="132" spans="1:7" x14ac:dyDescent="0.3">
      <c r="A132" s="1" t="s">
        <v>521</v>
      </c>
      <c r="B132" s="1" t="s">
        <v>18</v>
      </c>
      <c r="C132" s="1" t="s">
        <v>424</v>
      </c>
      <c r="D132" s="1" t="s">
        <v>410</v>
      </c>
      <c r="E132" s="1" t="s">
        <v>64</v>
      </c>
      <c r="G132" s="1" t="s">
        <v>52</v>
      </c>
    </row>
    <row r="133" spans="1:7" x14ac:dyDescent="0.3">
      <c r="A133" s="1" t="s">
        <v>522</v>
      </c>
      <c r="B133" s="1" t="s">
        <v>16</v>
      </c>
      <c r="C133" s="1" t="s">
        <v>385</v>
      </c>
      <c r="D133" s="1" t="s">
        <v>386</v>
      </c>
      <c r="E133" s="1" t="s">
        <v>51</v>
      </c>
      <c r="F133">
        <v>3300</v>
      </c>
      <c r="G133" s="1" t="s">
        <v>52</v>
      </c>
    </row>
    <row r="134" spans="1:7" x14ac:dyDescent="0.3">
      <c r="A134" s="1" t="s">
        <v>332</v>
      </c>
      <c r="B134" s="1" t="s">
        <v>18</v>
      </c>
      <c r="C134" s="1" t="s">
        <v>257</v>
      </c>
      <c r="D134" s="1" t="s">
        <v>383</v>
      </c>
      <c r="E134" s="1" t="s">
        <v>72</v>
      </c>
      <c r="F134">
        <v>3600</v>
      </c>
      <c r="G134" s="1" t="s">
        <v>52</v>
      </c>
    </row>
    <row r="135" spans="1:7" x14ac:dyDescent="0.3">
      <c r="A135" s="1" t="s">
        <v>523</v>
      </c>
      <c r="B135" s="1" t="s">
        <v>14</v>
      </c>
      <c r="C135" s="1" t="s">
        <v>388</v>
      </c>
      <c r="D135" s="1" t="s">
        <v>389</v>
      </c>
      <c r="E135" s="1" t="s">
        <v>233</v>
      </c>
      <c r="F135">
        <v>5300</v>
      </c>
      <c r="G135" s="1" t="s">
        <v>82</v>
      </c>
    </row>
    <row r="136" spans="1:7" x14ac:dyDescent="0.3">
      <c r="A136" s="1" t="s">
        <v>524</v>
      </c>
      <c r="B136" s="1" t="s">
        <v>18</v>
      </c>
      <c r="C136" s="1" t="s">
        <v>427</v>
      </c>
      <c r="D136" s="1" t="s">
        <v>428</v>
      </c>
      <c r="E136" s="1" t="s">
        <v>100</v>
      </c>
      <c r="F136">
        <v>6200</v>
      </c>
      <c r="G136" s="1" t="s">
        <v>429</v>
      </c>
    </row>
    <row r="137" spans="1:7" x14ac:dyDescent="0.3">
      <c r="A137" s="1" t="s">
        <v>525</v>
      </c>
      <c r="B137" s="1" t="s">
        <v>14</v>
      </c>
      <c r="C137" s="1" t="s">
        <v>383</v>
      </c>
      <c r="D137" s="1" t="s">
        <v>305</v>
      </c>
      <c r="E137" s="1" t="s">
        <v>51</v>
      </c>
      <c r="G137" s="1" t="s">
        <v>52</v>
      </c>
    </row>
    <row r="138" spans="1:7" x14ac:dyDescent="0.3">
      <c r="A138" s="1" t="s">
        <v>526</v>
      </c>
      <c r="B138" s="1" t="s">
        <v>21</v>
      </c>
      <c r="C138" s="1" t="s">
        <v>396</v>
      </c>
      <c r="D138" s="1" t="s">
        <v>397</v>
      </c>
      <c r="E138" s="1" t="s">
        <v>233</v>
      </c>
      <c r="F138">
        <v>4800</v>
      </c>
      <c r="G138" s="1" t="s">
        <v>52</v>
      </c>
    </row>
    <row r="139" spans="1:7" x14ac:dyDescent="0.3">
      <c r="A139" s="1" t="s">
        <v>527</v>
      </c>
      <c r="B139" s="1" t="s">
        <v>14</v>
      </c>
      <c r="C139" s="1" t="s">
        <v>428</v>
      </c>
      <c r="D139" s="1" t="s">
        <v>431</v>
      </c>
      <c r="E139" s="1" t="s">
        <v>74</v>
      </c>
      <c r="F139">
        <v>3700</v>
      </c>
      <c r="G139" s="1" t="s">
        <v>52</v>
      </c>
    </row>
    <row r="140" spans="1:7" x14ac:dyDescent="0.3">
      <c r="A140" s="1" t="s">
        <v>528</v>
      </c>
      <c r="B140" s="1" t="s">
        <v>16</v>
      </c>
      <c r="C140" s="1" t="s">
        <v>392</v>
      </c>
      <c r="D140" s="1" t="s">
        <v>385</v>
      </c>
      <c r="E140" s="1" t="s">
        <v>51</v>
      </c>
      <c r="F140">
        <v>3000</v>
      </c>
      <c r="G140" s="1" t="s">
        <v>52</v>
      </c>
    </row>
    <row r="141" spans="1:7" x14ac:dyDescent="0.3">
      <c r="A141" s="1" t="s">
        <v>529</v>
      </c>
      <c r="B141" s="1" t="s">
        <v>13</v>
      </c>
      <c r="C141" s="1" t="s">
        <v>381</v>
      </c>
      <c r="D141" s="1" t="s">
        <v>382</v>
      </c>
      <c r="E141" s="1" t="s">
        <v>98</v>
      </c>
      <c r="F141">
        <v>3400</v>
      </c>
      <c r="G141" s="1" t="s">
        <v>52</v>
      </c>
    </row>
    <row r="142" spans="1:7" x14ac:dyDescent="0.3">
      <c r="A142" s="1" t="s">
        <v>530</v>
      </c>
      <c r="B142" s="1" t="s">
        <v>21</v>
      </c>
      <c r="C142" s="1" t="s">
        <v>397</v>
      </c>
      <c r="D142" s="1" t="s">
        <v>422</v>
      </c>
      <c r="E142" s="1" t="s">
        <v>69</v>
      </c>
      <c r="G142" s="1" t="s">
        <v>69</v>
      </c>
    </row>
    <row r="143" spans="1:7" x14ac:dyDescent="0.3">
      <c r="A143" s="1" t="s">
        <v>333</v>
      </c>
      <c r="B143" s="1" t="s">
        <v>16</v>
      </c>
      <c r="C143" s="1" t="s">
        <v>257</v>
      </c>
      <c r="D143" s="1" t="s">
        <v>383</v>
      </c>
      <c r="E143" s="1" t="s">
        <v>51</v>
      </c>
      <c r="F143">
        <v>3000</v>
      </c>
      <c r="G143" s="1" t="s">
        <v>52</v>
      </c>
    </row>
    <row r="144" spans="1:7" x14ac:dyDescent="0.3">
      <c r="A144" s="1" t="s">
        <v>531</v>
      </c>
      <c r="B144" s="1" t="s">
        <v>21</v>
      </c>
      <c r="C144" s="1" t="s">
        <v>382</v>
      </c>
      <c r="D144" s="1" t="s">
        <v>414</v>
      </c>
      <c r="E144" s="1" t="s">
        <v>51</v>
      </c>
      <c r="F144">
        <v>3000</v>
      </c>
      <c r="G144" s="1" t="s">
        <v>52</v>
      </c>
    </row>
    <row r="145" spans="1:7" x14ac:dyDescent="0.3">
      <c r="A145" s="1" t="s">
        <v>532</v>
      </c>
      <c r="B145" s="1" t="s">
        <v>16</v>
      </c>
      <c r="C145" s="1" t="s">
        <v>385</v>
      </c>
      <c r="D145" s="1" t="s">
        <v>386</v>
      </c>
      <c r="E145" s="1" t="s">
        <v>69</v>
      </c>
      <c r="G145" s="1" t="s">
        <v>69</v>
      </c>
    </row>
    <row r="146" spans="1:7" x14ac:dyDescent="0.3">
      <c r="A146" s="1" t="s">
        <v>533</v>
      </c>
      <c r="B146" s="1" t="s">
        <v>13</v>
      </c>
      <c r="C146" s="1" t="s">
        <v>381</v>
      </c>
      <c r="D146" s="1" t="s">
        <v>382</v>
      </c>
      <c r="E146" s="1" t="s">
        <v>51</v>
      </c>
      <c r="F146">
        <v>3000</v>
      </c>
      <c r="G146" s="1" t="s">
        <v>52</v>
      </c>
    </row>
    <row r="147" spans="1:7" x14ac:dyDescent="0.3">
      <c r="A147" s="1" t="s">
        <v>534</v>
      </c>
      <c r="B147" s="1" t="s">
        <v>14</v>
      </c>
      <c r="C147" s="1" t="s">
        <v>401</v>
      </c>
      <c r="D147" s="1" t="s">
        <v>402</v>
      </c>
      <c r="E147" s="1" t="s">
        <v>65</v>
      </c>
      <c r="F147">
        <v>5100</v>
      </c>
      <c r="G147" s="1" t="s">
        <v>82</v>
      </c>
    </row>
    <row r="148" spans="1:7" x14ac:dyDescent="0.3">
      <c r="A148" s="1" t="s">
        <v>535</v>
      </c>
      <c r="B148" s="1" t="s">
        <v>21</v>
      </c>
      <c r="C148" s="1" t="s">
        <v>388</v>
      </c>
      <c r="D148" s="1" t="s">
        <v>389</v>
      </c>
      <c r="E148" s="1" t="s">
        <v>51</v>
      </c>
      <c r="F148">
        <v>3000</v>
      </c>
      <c r="G148" s="1" t="s">
        <v>52</v>
      </c>
    </row>
    <row r="149" spans="1:7" x14ac:dyDescent="0.3">
      <c r="A149" s="1" t="s">
        <v>335</v>
      </c>
      <c r="B149" s="1" t="s">
        <v>18</v>
      </c>
      <c r="C149" s="1" t="s">
        <v>257</v>
      </c>
      <c r="D149" s="1" t="s">
        <v>383</v>
      </c>
      <c r="E149" s="1" t="s">
        <v>69</v>
      </c>
      <c r="F149">
        <v>3000</v>
      </c>
      <c r="G149" s="1" t="s">
        <v>52</v>
      </c>
    </row>
    <row r="150" spans="1:7" x14ac:dyDescent="0.3">
      <c r="A150" s="1" t="s">
        <v>536</v>
      </c>
      <c r="B150" s="1" t="s">
        <v>18</v>
      </c>
      <c r="C150" s="1" t="s">
        <v>408</v>
      </c>
      <c r="D150" s="1" t="s">
        <v>401</v>
      </c>
      <c r="E150" s="1" t="s">
        <v>215</v>
      </c>
      <c r="F150">
        <v>6300</v>
      </c>
      <c r="G150" s="1" t="s">
        <v>212</v>
      </c>
    </row>
    <row r="151" spans="1:7" x14ac:dyDescent="0.3">
      <c r="A151" s="1" t="s">
        <v>537</v>
      </c>
      <c r="B151" s="1" t="s">
        <v>21</v>
      </c>
      <c r="C151" s="1" t="s">
        <v>397</v>
      </c>
      <c r="D151" s="1" t="s">
        <v>422</v>
      </c>
      <c r="E151" s="1" t="s">
        <v>103</v>
      </c>
      <c r="G151" s="1" t="s">
        <v>538</v>
      </c>
    </row>
    <row r="152" spans="1:7" x14ac:dyDescent="0.3">
      <c r="A152" s="1" t="s">
        <v>539</v>
      </c>
      <c r="B152" s="1" t="s">
        <v>13</v>
      </c>
      <c r="C152" s="1" t="s">
        <v>401</v>
      </c>
      <c r="D152" s="1" t="s">
        <v>402</v>
      </c>
      <c r="E152" s="1" t="s">
        <v>71</v>
      </c>
      <c r="F152">
        <v>4700</v>
      </c>
      <c r="G152" s="1" t="s">
        <v>101</v>
      </c>
    </row>
    <row r="153" spans="1:7" x14ac:dyDescent="0.3">
      <c r="A153" s="1" t="s">
        <v>540</v>
      </c>
      <c r="B153" s="1" t="s">
        <v>14</v>
      </c>
      <c r="C153" s="1" t="s">
        <v>424</v>
      </c>
      <c r="D153" s="1" t="s">
        <v>410</v>
      </c>
      <c r="E153" s="1" t="s">
        <v>51</v>
      </c>
      <c r="G153" s="1" t="s">
        <v>52</v>
      </c>
    </row>
    <row r="154" spans="1:7" x14ac:dyDescent="0.3">
      <c r="A154" s="1" t="s">
        <v>541</v>
      </c>
      <c r="B154" s="1" t="s">
        <v>16</v>
      </c>
      <c r="C154" s="1" t="s">
        <v>382</v>
      </c>
      <c r="D154" s="1" t="s">
        <v>414</v>
      </c>
      <c r="E154" s="1" t="s">
        <v>218</v>
      </c>
      <c r="F154">
        <v>3400</v>
      </c>
      <c r="G154" s="1" t="s">
        <v>52</v>
      </c>
    </row>
    <row r="155" spans="1:7" x14ac:dyDescent="0.3">
      <c r="A155" s="1" t="s">
        <v>542</v>
      </c>
      <c r="B155" s="1" t="s">
        <v>21</v>
      </c>
      <c r="C155" s="1" t="s">
        <v>383</v>
      </c>
      <c r="D155" s="1" t="s">
        <v>305</v>
      </c>
      <c r="E155" s="1" t="s">
        <v>65</v>
      </c>
      <c r="G155" s="1" t="s">
        <v>52</v>
      </c>
    </row>
    <row r="156" spans="1:7" x14ac:dyDescent="0.3">
      <c r="A156" s="1" t="s">
        <v>543</v>
      </c>
      <c r="B156" s="1" t="s">
        <v>13</v>
      </c>
      <c r="C156" s="1" t="s">
        <v>382</v>
      </c>
      <c r="D156" s="1" t="s">
        <v>414</v>
      </c>
      <c r="E156" s="1" t="s">
        <v>51</v>
      </c>
      <c r="F156">
        <v>3000</v>
      </c>
      <c r="G156" s="1" t="s">
        <v>52</v>
      </c>
    </row>
    <row r="157" spans="1:7" x14ac:dyDescent="0.3">
      <c r="A157" s="1" t="s">
        <v>544</v>
      </c>
      <c r="B157" s="1" t="s">
        <v>13</v>
      </c>
      <c r="C157" s="1" t="s">
        <v>398</v>
      </c>
      <c r="D157" s="1" t="s">
        <v>311</v>
      </c>
      <c r="E157" s="1" t="s">
        <v>349</v>
      </c>
      <c r="F157">
        <v>10400</v>
      </c>
      <c r="G157" s="1" t="s">
        <v>545</v>
      </c>
    </row>
    <row r="158" spans="1:7" x14ac:dyDescent="0.3">
      <c r="A158" s="1" t="s">
        <v>546</v>
      </c>
      <c r="B158" s="1" t="s">
        <v>16</v>
      </c>
      <c r="C158" s="1" t="s">
        <v>398</v>
      </c>
      <c r="D158" s="1" t="s">
        <v>311</v>
      </c>
      <c r="E158" s="1" t="s">
        <v>72</v>
      </c>
      <c r="F158">
        <v>3000</v>
      </c>
      <c r="G158" s="1" t="s">
        <v>52</v>
      </c>
    </row>
    <row r="159" spans="1:7" x14ac:dyDescent="0.3">
      <c r="A159" s="1" t="s">
        <v>547</v>
      </c>
      <c r="B159" s="1" t="s">
        <v>21</v>
      </c>
      <c r="C159" s="1" t="s">
        <v>397</v>
      </c>
      <c r="D159" s="1" t="s">
        <v>422</v>
      </c>
      <c r="E159" s="1" t="s">
        <v>69</v>
      </c>
      <c r="G159" s="1" t="s">
        <v>69</v>
      </c>
    </row>
    <row r="160" spans="1:7" x14ac:dyDescent="0.3">
      <c r="A160" s="1" t="s">
        <v>548</v>
      </c>
      <c r="B160" s="1" t="s">
        <v>13</v>
      </c>
      <c r="C160" s="1" t="s">
        <v>427</v>
      </c>
      <c r="D160" s="1" t="s">
        <v>428</v>
      </c>
      <c r="E160" s="1" t="s">
        <v>98</v>
      </c>
      <c r="F160">
        <v>3000</v>
      </c>
      <c r="G160" s="1" t="s">
        <v>57</v>
      </c>
    </row>
    <row r="161" spans="1:7" x14ac:dyDescent="0.3">
      <c r="A161" s="1" t="s">
        <v>549</v>
      </c>
      <c r="B161" s="1" t="s">
        <v>18</v>
      </c>
      <c r="C161" s="1" t="s">
        <v>428</v>
      </c>
      <c r="D161" s="1" t="s">
        <v>431</v>
      </c>
      <c r="E161" s="1" t="s">
        <v>84</v>
      </c>
      <c r="F161">
        <v>7900</v>
      </c>
      <c r="G161" s="1" t="s">
        <v>217</v>
      </c>
    </row>
    <row r="162" spans="1:7" x14ac:dyDescent="0.3">
      <c r="A162" s="1" t="s">
        <v>336</v>
      </c>
      <c r="B162" s="1" t="s">
        <v>16</v>
      </c>
      <c r="C162" s="1" t="s">
        <v>251</v>
      </c>
      <c r="D162" s="1" t="s">
        <v>398</v>
      </c>
      <c r="E162" s="1" t="s">
        <v>88</v>
      </c>
      <c r="F162">
        <v>3500</v>
      </c>
      <c r="G162" s="1" t="s">
        <v>52</v>
      </c>
    </row>
    <row r="163" spans="1:7" x14ac:dyDescent="0.3">
      <c r="A163" s="1" t="s">
        <v>550</v>
      </c>
      <c r="B163" s="1" t="s">
        <v>18</v>
      </c>
      <c r="C163" s="1" t="s">
        <v>389</v>
      </c>
      <c r="D163" s="1" t="s">
        <v>405</v>
      </c>
      <c r="E163" s="1" t="s">
        <v>51</v>
      </c>
      <c r="G163" s="1" t="s">
        <v>52</v>
      </c>
    </row>
    <row r="164" spans="1:7" x14ac:dyDescent="0.3">
      <c r="A164" s="1" t="s">
        <v>551</v>
      </c>
      <c r="B164" s="1" t="s">
        <v>13</v>
      </c>
      <c r="C164" s="1" t="s">
        <v>385</v>
      </c>
      <c r="D164" s="1" t="s">
        <v>386</v>
      </c>
      <c r="E164" s="1" t="s">
        <v>552</v>
      </c>
      <c r="F164">
        <v>9300</v>
      </c>
      <c r="G164" s="1" t="s">
        <v>553</v>
      </c>
    </row>
    <row r="165" spans="1:7" x14ac:dyDescent="0.3">
      <c r="A165" s="1" t="s">
        <v>554</v>
      </c>
      <c r="B165" s="1" t="s">
        <v>14</v>
      </c>
      <c r="C165" s="1" t="s">
        <v>385</v>
      </c>
      <c r="D165" s="1" t="s">
        <v>386</v>
      </c>
      <c r="E165" s="1" t="s">
        <v>331</v>
      </c>
      <c r="F165">
        <v>9500</v>
      </c>
      <c r="G165" s="1" t="s">
        <v>315</v>
      </c>
    </row>
    <row r="166" spans="1:7" x14ac:dyDescent="0.3">
      <c r="A166" s="1" t="s">
        <v>555</v>
      </c>
      <c r="B166" s="1" t="s">
        <v>13</v>
      </c>
      <c r="C166" s="1" t="s">
        <v>392</v>
      </c>
      <c r="D166" s="1" t="s">
        <v>385</v>
      </c>
      <c r="E166" s="1" t="s">
        <v>90</v>
      </c>
      <c r="F166">
        <v>3400</v>
      </c>
      <c r="G166" s="1" t="s">
        <v>52</v>
      </c>
    </row>
    <row r="167" spans="1:7" x14ac:dyDescent="0.3">
      <c r="A167" s="1" t="s">
        <v>556</v>
      </c>
      <c r="B167" s="1" t="s">
        <v>18</v>
      </c>
      <c r="C167" s="1" t="s">
        <v>396</v>
      </c>
      <c r="D167" s="1" t="s">
        <v>397</v>
      </c>
      <c r="E167" s="1" t="s">
        <v>51</v>
      </c>
      <c r="F167">
        <v>3000</v>
      </c>
      <c r="G167" s="1" t="s">
        <v>52</v>
      </c>
    </row>
    <row r="168" spans="1:7" x14ac:dyDescent="0.3">
      <c r="A168" s="1" t="s">
        <v>557</v>
      </c>
      <c r="B168" s="1" t="s">
        <v>21</v>
      </c>
      <c r="C168" s="1" t="s">
        <v>398</v>
      </c>
      <c r="D168" s="1" t="s">
        <v>311</v>
      </c>
      <c r="E168" s="1" t="s">
        <v>51</v>
      </c>
      <c r="F168">
        <v>3000</v>
      </c>
      <c r="G168" s="1" t="s">
        <v>52</v>
      </c>
    </row>
    <row r="169" spans="1:7" x14ac:dyDescent="0.3">
      <c r="A169" s="1" t="s">
        <v>558</v>
      </c>
      <c r="B169" s="1" t="s">
        <v>13</v>
      </c>
      <c r="C169" s="1" t="s">
        <v>410</v>
      </c>
      <c r="D169" s="1" t="s">
        <v>411</v>
      </c>
      <c r="E169" s="1" t="s">
        <v>559</v>
      </c>
      <c r="G169" s="1" t="s">
        <v>560</v>
      </c>
    </row>
    <row r="170" spans="1:7" x14ac:dyDescent="0.3">
      <c r="A170" s="1" t="s">
        <v>561</v>
      </c>
      <c r="B170" s="1" t="s">
        <v>18</v>
      </c>
      <c r="C170" s="1" t="s">
        <v>408</v>
      </c>
      <c r="D170" s="1" t="s">
        <v>401</v>
      </c>
      <c r="E170" s="1" t="s">
        <v>72</v>
      </c>
      <c r="F170">
        <v>3200</v>
      </c>
      <c r="G170" s="1" t="s">
        <v>59</v>
      </c>
    </row>
    <row r="171" spans="1:7" x14ac:dyDescent="0.3">
      <c r="A171" s="1" t="s">
        <v>562</v>
      </c>
      <c r="B171" s="1" t="s">
        <v>14</v>
      </c>
      <c r="C171" s="1" t="s">
        <v>398</v>
      </c>
      <c r="D171" s="1" t="s">
        <v>311</v>
      </c>
      <c r="E171" s="1" t="s">
        <v>90</v>
      </c>
      <c r="F171">
        <v>4100</v>
      </c>
      <c r="G171" s="1" t="s">
        <v>52</v>
      </c>
    </row>
    <row r="172" spans="1:7" x14ac:dyDescent="0.3">
      <c r="A172" s="1" t="s">
        <v>563</v>
      </c>
      <c r="B172" s="1" t="s">
        <v>14</v>
      </c>
      <c r="C172" s="1" t="s">
        <v>427</v>
      </c>
      <c r="D172" s="1" t="s">
        <v>428</v>
      </c>
      <c r="E172" s="1" t="s">
        <v>58</v>
      </c>
      <c r="F172">
        <v>3900</v>
      </c>
      <c r="G172" s="1" t="s">
        <v>52</v>
      </c>
    </row>
    <row r="173" spans="1:7" x14ac:dyDescent="0.3">
      <c r="A173" s="1" t="s">
        <v>564</v>
      </c>
      <c r="B173" s="1" t="s">
        <v>13</v>
      </c>
      <c r="C173" s="1" t="s">
        <v>385</v>
      </c>
      <c r="D173" s="1" t="s">
        <v>386</v>
      </c>
      <c r="E173" s="1" t="s">
        <v>69</v>
      </c>
      <c r="F173">
        <v>3000</v>
      </c>
      <c r="G173" s="1" t="s">
        <v>69</v>
      </c>
    </row>
    <row r="174" spans="1:7" x14ac:dyDescent="0.3">
      <c r="A174" s="1" t="s">
        <v>565</v>
      </c>
      <c r="B174" s="1" t="s">
        <v>13</v>
      </c>
      <c r="C174" s="1" t="s">
        <v>408</v>
      </c>
      <c r="D174" s="1" t="s">
        <v>401</v>
      </c>
      <c r="E174" s="1" t="s">
        <v>51</v>
      </c>
      <c r="F174">
        <v>3000</v>
      </c>
      <c r="G174" s="1" t="s">
        <v>52</v>
      </c>
    </row>
    <row r="175" spans="1:7" x14ac:dyDescent="0.3">
      <c r="A175" s="1" t="s">
        <v>337</v>
      </c>
      <c r="B175" s="1" t="s">
        <v>13</v>
      </c>
      <c r="C175" s="1" t="s">
        <v>257</v>
      </c>
      <c r="D175" s="1" t="s">
        <v>383</v>
      </c>
      <c r="E175" s="1" t="s">
        <v>51</v>
      </c>
      <c r="F175">
        <v>3000</v>
      </c>
      <c r="G175" s="1" t="s">
        <v>52</v>
      </c>
    </row>
    <row r="176" spans="1:7" x14ac:dyDescent="0.3">
      <c r="A176" s="1" t="s">
        <v>566</v>
      </c>
      <c r="B176" s="1" t="s">
        <v>18</v>
      </c>
      <c r="C176" s="1" t="s">
        <v>381</v>
      </c>
      <c r="D176" s="1" t="s">
        <v>382</v>
      </c>
      <c r="E176" s="1" t="s">
        <v>567</v>
      </c>
      <c r="F176">
        <v>11200</v>
      </c>
      <c r="G176" s="1" t="s">
        <v>568</v>
      </c>
    </row>
    <row r="177" spans="1:7" x14ac:dyDescent="0.3">
      <c r="A177" s="1" t="s">
        <v>569</v>
      </c>
      <c r="B177" s="1" t="s">
        <v>16</v>
      </c>
      <c r="C177" s="1" t="s">
        <v>424</v>
      </c>
      <c r="D177" s="1" t="s">
        <v>410</v>
      </c>
      <c r="E177" s="1" t="s">
        <v>213</v>
      </c>
      <c r="G177" s="1" t="s">
        <v>54</v>
      </c>
    </row>
    <row r="178" spans="1:7" x14ac:dyDescent="0.3">
      <c r="A178" s="1" t="s">
        <v>570</v>
      </c>
      <c r="B178" s="1" t="s">
        <v>21</v>
      </c>
      <c r="C178" s="1" t="s">
        <v>401</v>
      </c>
      <c r="D178" s="1" t="s">
        <v>402</v>
      </c>
      <c r="E178" s="1" t="s">
        <v>51</v>
      </c>
      <c r="F178">
        <v>7700</v>
      </c>
      <c r="G178" s="1" t="s">
        <v>52</v>
      </c>
    </row>
    <row r="179" spans="1:7" x14ac:dyDescent="0.3">
      <c r="A179" s="1" t="s">
        <v>571</v>
      </c>
      <c r="B179" s="1" t="s">
        <v>16</v>
      </c>
      <c r="C179" s="1" t="s">
        <v>383</v>
      </c>
      <c r="D179" s="1" t="s">
        <v>305</v>
      </c>
      <c r="E179" s="1" t="s">
        <v>218</v>
      </c>
      <c r="G179" s="1" t="s">
        <v>52</v>
      </c>
    </row>
    <row r="180" spans="1:7" x14ac:dyDescent="0.3">
      <c r="A180" s="1" t="s">
        <v>338</v>
      </c>
      <c r="B180" s="1" t="s">
        <v>16</v>
      </c>
      <c r="C180" s="1" t="s">
        <v>251</v>
      </c>
      <c r="D180" s="1" t="s">
        <v>398</v>
      </c>
      <c r="E180" s="1" t="s">
        <v>69</v>
      </c>
      <c r="F180">
        <v>3200</v>
      </c>
      <c r="G180" s="1" t="s">
        <v>52</v>
      </c>
    </row>
    <row r="181" spans="1:7" x14ac:dyDescent="0.3">
      <c r="A181" s="1" t="s">
        <v>572</v>
      </c>
      <c r="B181" s="1" t="s">
        <v>21</v>
      </c>
      <c r="C181" s="1" t="s">
        <v>427</v>
      </c>
      <c r="D181" s="1" t="s">
        <v>428</v>
      </c>
      <c r="E181" s="1" t="s">
        <v>65</v>
      </c>
      <c r="F181">
        <v>5400</v>
      </c>
      <c r="G181" s="1" t="s">
        <v>55</v>
      </c>
    </row>
    <row r="182" spans="1:7" x14ac:dyDescent="0.3">
      <c r="A182" s="1" t="s">
        <v>339</v>
      </c>
      <c r="B182" s="1" t="s">
        <v>13</v>
      </c>
      <c r="C182" s="1" t="s">
        <v>257</v>
      </c>
      <c r="D182" s="1" t="s">
        <v>383</v>
      </c>
      <c r="E182" s="1" t="s">
        <v>69</v>
      </c>
      <c r="F182">
        <v>3000</v>
      </c>
      <c r="G182" s="1" t="s">
        <v>69</v>
      </c>
    </row>
    <row r="183" spans="1:7" x14ac:dyDescent="0.3">
      <c r="A183" s="1" t="s">
        <v>573</v>
      </c>
      <c r="B183" s="1" t="s">
        <v>13</v>
      </c>
      <c r="C183" s="1" t="s">
        <v>401</v>
      </c>
      <c r="D183" s="1" t="s">
        <v>402</v>
      </c>
      <c r="E183" s="1" t="s">
        <v>58</v>
      </c>
      <c r="F183">
        <v>3700</v>
      </c>
      <c r="G183" s="1" t="s">
        <v>52</v>
      </c>
    </row>
    <row r="184" spans="1:7" x14ac:dyDescent="0.3">
      <c r="A184" s="1" t="s">
        <v>574</v>
      </c>
      <c r="B184" s="1" t="s">
        <v>13</v>
      </c>
      <c r="C184" s="1" t="s">
        <v>397</v>
      </c>
      <c r="D184" s="1" t="s">
        <v>422</v>
      </c>
      <c r="E184" s="1" t="s">
        <v>97</v>
      </c>
      <c r="G184" s="1" t="s">
        <v>59</v>
      </c>
    </row>
    <row r="185" spans="1:7" x14ac:dyDescent="0.3">
      <c r="A185" s="1" t="s">
        <v>575</v>
      </c>
      <c r="B185" s="1" t="s">
        <v>14</v>
      </c>
      <c r="C185" s="1" t="s">
        <v>385</v>
      </c>
      <c r="D185" s="1" t="s">
        <v>386</v>
      </c>
      <c r="E185" s="1" t="s">
        <v>97</v>
      </c>
      <c r="F185">
        <v>4200</v>
      </c>
      <c r="G185" s="1" t="s">
        <v>57</v>
      </c>
    </row>
    <row r="186" spans="1:7" x14ac:dyDescent="0.3">
      <c r="A186" s="1" t="s">
        <v>576</v>
      </c>
      <c r="B186" s="1" t="s">
        <v>13</v>
      </c>
      <c r="C186" s="1" t="s">
        <v>408</v>
      </c>
      <c r="D186" s="1" t="s">
        <v>401</v>
      </c>
      <c r="E186" s="1" t="s">
        <v>98</v>
      </c>
      <c r="F186">
        <v>4000</v>
      </c>
      <c r="G186" s="1" t="s">
        <v>52</v>
      </c>
    </row>
    <row r="187" spans="1:7" x14ac:dyDescent="0.3">
      <c r="A187" s="1" t="s">
        <v>577</v>
      </c>
      <c r="B187" s="1" t="s">
        <v>16</v>
      </c>
      <c r="C187" s="1" t="s">
        <v>382</v>
      </c>
      <c r="D187" s="1" t="s">
        <v>414</v>
      </c>
      <c r="E187" s="1" t="s">
        <v>51</v>
      </c>
      <c r="F187">
        <v>3000</v>
      </c>
      <c r="G187" s="1" t="s">
        <v>52</v>
      </c>
    </row>
    <row r="188" spans="1:7" x14ac:dyDescent="0.3">
      <c r="A188" s="1" t="s">
        <v>578</v>
      </c>
      <c r="B188" s="1" t="s">
        <v>16</v>
      </c>
      <c r="C188" s="1" t="s">
        <v>385</v>
      </c>
      <c r="D188" s="1" t="s">
        <v>386</v>
      </c>
      <c r="E188" s="1" t="s">
        <v>51</v>
      </c>
      <c r="F188">
        <v>3000</v>
      </c>
      <c r="G188" s="1" t="s">
        <v>52</v>
      </c>
    </row>
    <row r="189" spans="1:7" x14ac:dyDescent="0.3">
      <c r="A189" s="1" t="s">
        <v>579</v>
      </c>
      <c r="B189" s="1" t="s">
        <v>16</v>
      </c>
      <c r="C189" s="1" t="s">
        <v>396</v>
      </c>
      <c r="D189" s="1" t="s">
        <v>397</v>
      </c>
      <c r="E189" s="1" t="s">
        <v>328</v>
      </c>
      <c r="F189">
        <v>8500</v>
      </c>
      <c r="G189" s="1" t="s">
        <v>68</v>
      </c>
    </row>
    <row r="190" spans="1:7" x14ac:dyDescent="0.3">
      <c r="A190" s="1" t="s">
        <v>580</v>
      </c>
      <c r="B190" s="1" t="s">
        <v>13</v>
      </c>
      <c r="C190" s="1" t="s">
        <v>392</v>
      </c>
      <c r="D190" s="1" t="s">
        <v>385</v>
      </c>
      <c r="E190" s="1" t="s">
        <v>69</v>
      </c>
      <c r="G190" s="1" t="s">
        <v>69</v>
      </c>
    </row>
    <row r="191" spans="1:7" x14ac:dyDescent="0.3">
      <c r="A191" s="1" t="s">
        <v>581</v>
      </c>
      <c r="B191" s="1" t="s">
        <v>13</v>
      </c>
      <c r="C191" s="1" t="s">
        <v>392</v>
      </c>
      <c r="D191" s="1" t="s">
        <v>385</v>
      </c>
      <c r="E191" s="1" t="s">
        <v>89</v>
      </c>
      <c r="F191">
        <v>4100</v>
      </c>
      <c r="G191" s="1" t="s">
        <v>52</v>
      </c>
    </row>
    <row r="192" spans="1:7" x14ac:dyDescent="0.3">
      <c r="A192" s="1" t="s">
        <v>582</v>
      </c>
      <c r="B192" s="1" t="s">
        <v>16</v>
      </c>
      <c r="C192" s="1" t="s">
        <v>424</v>
      </c>
      <c r="D192" s="1" t="s">
        <v>410</v>
      </c>
      <c r="E192" s="1" t="s">
        <v>69</v>
      </c>
      <c r="F192">
        <v>3000</v>
      </c>
      <c r="G192" s="1" t="s">
        <v>52</v>
      </c>
    </row>
    <row r="193" spans="1:7" x14ac:dyDescent="0.3">
      <c r="A193" s="1" t="s">
        <v>583</v>
      </c>
      <c r="B193" s="1" t="s">
        <v>16</v>
      </c>
      <c r="C193" s="1" t="s">
        <v>382</v>
      </c>
      <c r="D193" s="1" t="s">
        <v>414</v>
      </c>
      <c r="E193" s="1" t="s">
        <v>51</v>
      </c>
      <c r="F193">
        <v>3000</v>
      </c>
      <c r="G193" s="1" t="s">
        <v>52</v>
      </c>
    </row>
    <row r="194" spans="1:7" x14ac:dyDescent="0.3">
      <c r="A194" s="1" t="s">
        <v>584</v>
      </c>
      <c r="B194" s="1" t="s">
        <v>21</v>
      </c>
      <c r="C194" s="1" t="s">
        <v>392</v>
      </c>
      <c r="D194" s="1" t="s">
        <v>385</v>
      </c>
      <c r="E194" s="1" t="s">
        <v>65</v>
      </c>
      <c r="F194">
        <v>4600</v>
      </c>
      <c r="G194" s="1" t="s">
        <v>101</v>
      </c>
    </row>
    <row r="195" spans="1:7" x14ac:dyDescent="0.3">
      <c r="A195" s="1" t="s">
        <v>585</v>
      </c>
      <c r="B195" s="1" t="s">
        <v>14</v>
      </c>
      <c r="C195" s="1" t="s">
        <v>408</v>
      </c>
      <c r="D195" s="1" t="s">
        <v>401</v>
      </c>
      <c r="E195" s="1" t="s">
        <v>86</v>
      </c>
      <c r="F195">
        <v>3900</v>
      </c>
      <c r="G195" s="1" t="s">
        <v>59</v>
      </c>
    </row>
    <row r="196" spans="1:7" x14ac:dyDescent="0.3">
      <c r="A196" s="1" t="s">
        <v>586</v>
      </c>
      <c r="B196" s="1" t="s">
        <v>16</v>
      </c>
      <c r="C196" s="1" t="s">
        <v>392</v>
      </c>
      <c r="D196" s="1" t="s">
        <v>385</v>
      </c>
      <c r="E196" s="1" t="s">
        <v>69</v>
      </c>
      <c r="G196" s="1" t="s">
        <v>69</v>
      </c>
    </row>
    <row r="197" spans="1:7" x14ac:dyDescent="0.3">
      <c r="A197" s="1" t="s">
        <v>587</v>
      </c>
      <c r="B197" s="1" t="s">
        <v>14</v>
      </c>
      <c r="C197" s="1" t="s">
        <v>408</v>
      </c>
      <c r="D197" s="1" t="s">
        <v>401</v>
      </c>
      <c r="E197" s="1" t="s">
        <v>88</v>
      </c>
      <c r="F197">
        <v>5800</v>
      </c>
      <c r="G197" s="1" t="s">
        <v>55</v>
      </c>
    </row>
    <row r="198" spans="1:7" x14ac:dyDescent="0.3">
      <c r="A198" s="1" t="s">
        <v>588</v>
      </c>
      <c r="B198" s="1" t="s">
        <v>14</v>
      </c>
      <c r="C198" s="1" t="s">
        <v>382</v>
      </c>
      <c r="D198" s="1" t="s">
        <v>414</v>
      </c>
      <c r="E198" s="1" t="s">
        <v>65</v>
      </c>
      <c r="F198">
        <v>5500</v>
      </c>
      <c r="G198" s="1" t="s">
        <v>82</v>
      </c>
    </row>
    <row r="199" spans="1:7" x14ac:dyDescent="0.3">
      <c r="A199" s="1" t="s">
        <v>589</v>
      </c>
      <c r="B199" s="1" t="s">
        <v>21</v>
      </c>
      <c r="C199" s="1" t="s">
        <v>396</v>
      </c>
      <c r="D199" s="1" t="s">
        <v>397</v>
      </c>
      <c r="E199" s="1" t="s">
        <v>88</v>
      </c>
      <c r="F199">
        <v>6500</v>
      </c>
      <c r="G199" s="1" t="s">
        <v>55</v>
      </c>
    </row>
    <row r="200" spans="1:7" x14ac:dyDescent="0.3">
      <c r="A200" s="1" t="s">
        <v>590</v>
      </c>
      <c r="B200" s="1" t="s">
        <v>21</v>
      </c>
      <c r="C200" s="1" t="s">
        <v>389</v>
      </c>
      <c r="D200" s="1" t="s">
        <v>405</v>
      </c>
      <c r="E200" s="1" t="s">
        <v>74</v>
      </c>
      <c r="G200" s="1" t="s">
        <v>52</v>
      </c>
    </row>
    <row r="201" spans="1:7" x14ac:dyDescent="0.3">
      <c r="A201" s="1" t="s">
        <v>591</v>
      </c>
      <c r="B201" s="1" t="s">
        <v>13</v>
      </c>
      <c r="C201" s="1" t="s">
        <v>389</v>
      </c>
      <c r="D201" s="1" t="s">
        <v>405</v>
      </c>
      <c r="E201" s="1" t="s">
        <v>90</v>
      </c>
      <c r="G201" s="1" t="s">
        <v>52</v>
      </c>
    </row>
    <row r="202" spans="1:7" x14ac:dyDescent="0.3">
      <c r="A202" s="1" t="s">
        <v>340</v>
      </c>
      <c r="B202" s="1" t="s">
        <v>13</v>
      </c>
      <c r="C202" s="1" t="s">
        <v>257</v>
      </c>
      <c r="D202" s="1" t="s">
        <v>383</v>
      </c>
      <c r="E202" s="1" t="s">
        <v>211</v>
      </c>
      <c r="F202">
        <v>5100</v>
      </c>
      <c r="G202" s="1" t="s">
        <v>101</v>
      </c>
    </row>
    <row r="203" spans="1:7" x14ac:dyDescent="0.3">
      <c r="A203" s="1" t="s">
        <v>592</v>
      </c>
      <c r="B203" s="1" t="s">
        <v>14</v>
      </c>
      <c r="C203" s="1" t="s">
        <v>401</v>
      </c>
      <c r="D203" s="1" t="s">
        <v>402</v>
      </c>
      <c r="E203" s="1" t="s">
        <v>89</v>
      </c>
      <c r="F203">
        <v>4000</v>
      </c>
      <c r="G203" s="1" t="s">
        <v>59</v>
      </c>
    </row>
    <row r="204" spans="1:7" x14ac:dyDescent="0.3">
      <c r="A204" s="1" t="s">
        <v>593</v>
      </c>
      <c r="B204" s="1" t="s">
        <v>14</v>
      </c>
      <c r="C204" s="1" t="s">
        <v>398</v>
      </c>
      <c r="D204" s="1" t="s">
        <v>311</v>
      </c>
      <c r="E204" s="1" t="s">
        <v>51</v>
      </c>
      <c r="F204">
        <v>3600</v>
      </c>
      <c r="G204" s="1" t="s">
        <v>52</v>
      </c>
    </row>
    <row r="205" spans="1:7" x14ac:dyDescent="0.3">
      <c r="A205" s="1" t="s">
        <v>594</v>
      </c>
      <c r="B205" s="1" t="s">
        <v>14</v>
      </c>
      <c r="C205" s="1" t="s">
        <v>398</v>
      </c>
      <c r="D205" s="1" t="s">
        <v>311</v>
      </c>
      <c r="E205" s="1" t="s">
        <v>595</v>
      </c>
      <c r="F205">
        <v>11000</v>
      </c>
      <c r="G205" s="1" t="s">
        <v>596</v>
      </c>
    </row>
    <row r="206" spans="1:7" x14ac:dyDescent="0.3">
      <c r="A206" s="1" t="s">
        <v>597</v>
      </c>
      <c r="B206" s="1" t="s">
        <v>13</v>
      </c>
      <c r="C206" s="1" t="s">
        <v>424</v>
      </c>
      <c r="D206" s="1" t="s">
        <v>410</v>
      </c>
      <c r="E206" s="1" t="s">
        <v>65</v>
      </c>
      <c r="G206" s="1" t="s">
        <v>92</v>
      </c>
    </row>
    <row r="207" spans="1:7" x14ac:dyDescent="0.3">
      <c r="A207" s="1" t="s">
        <v>598</v>
      </c>
      <c r="B207" s="1" t="s">
        <v>14</v>
      </c>
      <c r="C207" s="1" t="s">
        <v>396</v>
      </c>
      <c r="D207" s="1" t="s">
        <v>397</v>
      </c>
      <c r="E207" s="1" t="s">
        <v>51</v>
      </c>
      <c r="F207">
        <v>3000</v>
      </c>
      <c r="G207" s="1" t="s">
        <v>52</v>
      </c>
    </row>
    <row r="208" spans="1:7" x14ac:dyDescent="0.3">
      <c r="A208" s="1" t="s">
        <v>599</v>
      </c>
      <c r="B208" s="1" t="s">
        <v>16</v>
      </c>
      <c r="C208" s="1" t="s">
        <v>428</v>
      </c>
      <c r="D208" s="1" t="s">
        <v>431</v>
      </c>
      <c r="E208" s="1" t="s">
        <v>91</v>
      </c>
      <c r="F208">
        <v>6500</v>
      </c>
      <c r="G208" s="1" t="s">
        <v>55</v>
      </c>
    </row>
    <row r="209" spans="1:7" x14ac:dyDescent="0.3">
      <c r="A209" s="1" t="s">
        <v>600</v>
      </c>
      <c r="B209" s="1" t="s">
        <v>21</v>
      </c>
      <c r="C209" s="1" t="s">
        <v>428</v>
      </c>
      <c r="D209" s="1" t="s">
        <v>431</v>
      </c>
      <c r="E209" s="1" t="s">
        <v>51</v>
      </c>
      <c r="F209">
        <v>3200</v>
      </c>
      <c r="G209" s="1" t="s">
        <v>52</v>
      </c>
    </row>
    <row r="210" spans="1:7" x14ac:dyDescent="0.3">
      <c r="A210" s="1" t="s">
        <v>601</v>
      </c>
      <c r="B210" s="1" t="s">
        <v>21</v>
      </c>
      <c r="C210" s="1" t="s">
        <v>401</v>
      </c>
      <c r="D210" s="1" t="s">
        <v>402</v>
      </c>
      <c r="E210" s="1" t="s">
        <v>94</v>
      </c>
      <c r="F210">
        <v>5800</v>
      </c>
      <c r="G210" s="1" t="s">
        <v>429</v>
      </c>
    </row>
    <row r="211" spans="1:7" x14ac:dyDescent="0.3">
      <c r="A211" s="1" t="s">
        <v>602</v>
      </c>
      <c r="B211" s="1" t="s">
        <v>16</v>
      </c>
      <c r="C211" s="1" t="s">
        <v>397</v>
      </c>
      <c r="D211" s="1" t="s">
        <v>422</v>
      </c>
      <c r="E211" s="1" t="s">
        <v>603</v>
      </c>
      <c r="G211" s="1" t="s">
        <v>315</v>
      </c>
    </row>
    <row r="212" spans="1:7" x14ac:dyDescent="0.3">
      <c r="A212" s="1" t="s">
        <v>604</v>
      </c>
      <c r="B212" s="1" t="s">
        <v>21</v>
      </c>
      <c r="C212" s="1" t="s">
        <v>410</v>
      </c>
      <c r="D212" s="1" t="s">
        <v>411</v>
      </c>
      <c r="E212" s="1" t="s">
        <v>89</v>
      </c>
      <c r="G212" s="1" t="s">
        <v>52</v>
      </c>
    </row>
    <row r="213" spans="1:7" x14ac:dyDescent="0.3">
      <c r="A213" s="1" t="s">
        <v>341</v>
      </c>
      <c r="B213" s="1" t="s">
        <v>16</v>
      </c>
      <c r="C213" s="1" t="s">
        <v>257</v>
      </c>
      <c r="D213" s="1" t="s">
        <v>383</v>
      </c>
      <c r="E213" s="1" t="s">
        <v>552</v>
      </c>
      <c r="F213">
        <v>8000</v>
      </c>
      <c r="G213" s="1" t="s">
        <v>68</v>
      </c>
    </row>
    <row r="214" spans="1:7" x14ac:dyDescent="0.3">
      <c r="A214" s="1" t="s">
        <v>605</v>
      </c>
      <c r="B214" s="1" t="s">
        <v>21</v>
      </c>
      <c r="C214" s="1" t="s">
        <v>410</v>
      </c>
      <c r="D214" s="1" t="s">
        <v>411</v>
      </c>
      <c r="E214" s="1" t="s">
        <v>60</v>
      </c>
      <c r="G214" s="1" t="s">
        <v>85</v>
      </c>
    </row>
    <row r="215" spans="1:7" x14ac:dyDescent="0.3">
      <c r="A215" s="1" t="s">
        <v>606</v>
      </c>
      <c r="B215" s="1" t="s">
        <v>21</v>
      </c>
      <c r="C215" s="1" t="s">
        <v>398</v>
      </c>
      <c r="D215" s="1" t="s">
        <v>311</v>
      </c>
      <c r="E215" s="1" t="s">
        <v>216</v>
      </c>
      <c r="F215">
        <v>8900</v>
      </c>
      <c r="G215" s="1" t="s">
        <v>85</v>
      </c>
    </row>
    <row r="216" spans="1:7" x14ac:dyDescent="0.3">
      <c r="A216" s="1" t="s">
        <v>607</v>
      </c>
      <c r="B216" s="1" t="s">
        <v>16</v>
      </c>
      <c r="C216" s="1" t="s">
        <v>410</v>
      </c>
      <c r="D216" s="1" t="s">
        <v>411</v>
      </c>
      <c r="E216" s="1" t="s">
        <v>72</v>
      </c>
      <c r="G216" s="1" t="s">
        <v>52</v>
      </c>
    </row>
    <row r="217" spans="1:7" x14ac:dyDescent="0.3">
      <c r="A217" s="1" t="s">
        <v>608</v>
      </c>
      <c r="B217" s="1" t="s">
        <v>16</v>
      </c>
      <c r="C217" s="1" t="s">
        <v>428</v>
      </c>
      <c r="D217" s="1" t="s">
        <v>431</v>
      </c>
      <c r="E217" s="1" t="s">
        <v>72</v>
      </c>
      <c r="F217">
        <v>3500</v>
      </c>
      <c r="G217" s="1" t="s">
        <v>52</v>
      </c>
    </row>
    <row r="218" spans="1:7" x14ac:dyDescent="0.3">
      <c r="A218" s="1" t="s">
        <v>609</v>
      </c>
      <c r="B218" s="1" t="s">
        <v>16</v>
      </c>
      <c r="C218" s="1" t="s">
        <v>398</v>
      </c>
      <c r="D218" s="1" t="s">
        <v>311</v>
      </c>
      <c r="E218" s="1" t="s">
        <v>218</v>
      </c>
      <c r="F218">
        <v>5100</v>
      </c>
      <c r="G218" s="1" t="s">
        <v>92</v>
      </c>
    </row>
    <row r="219" spans="1:7" x14ac:dyDescent="0.3">
      <c r="A219" s="1" t="s">
        <v>610</v>
      </c>
      <c r="B219" s="1" t="s">
        <v>21</v>
      </c>
      <c r="C219" s="1" t="s">
        <v>382</v>
      </c>
      <c r="D219" s="1" t="s">
        <v>414</v>
      </c>
      <c r="E219" s="1" t="s">
        <v>84</v>
      </c>
      <c r="F219">
        <v>8700</v>
      </c>
      <c r="G219" s="1" t="s">
        <v>325</v>
      </c>
    </row>
    <row r="220" spans="1:7" x14ac:dyDescent="0.3">
      <c r="A220" s="1" t="s">
        <v>611</v>
      </c>
      <c r="B220" s="1" t="s">
        <v>13</v>
      </c>
      <c r="C220" s="1" t="s">
        <v>392</v>
      </c>
      <c r="D220" s="1" t="s">
        <v>385</v>
      </c>
      <c r="E220" s="1" t="s">
        <v>612</v>
      </c>
      <c r="F220">
        <v>5100</v>
      </c>
      <c r="G220" s="1" t="s">
        <v>92</v>
      </c>
    </row>
    <row r="221" spans="1:7" x14ac:dyDescent="0.3">
      <c r="A221" s="1" t="s">
        <v>613</v>
      </c>
      <c r="B221" s="1" t="s">
        <v>16</v>
      </c>
      <c r="C221" s="1" t="s">
        <v>428</v>
      </c>
      <c r="D221" s="1" t="s">
        <v>431</v>
      </c>
      <c r="E221" s="1" t="s">
        <v>87</v>
      </c>
      <c r="F221">
        <v>5600</v>
      </c>
      <c r="G221" s="1" t="s">
        <v>101</v>
      </c>
    </row>
    <row r="222" spans="1:7" x14ac:dyDescent="0.3">
      <c r="A222" s="1" t="s">
        <v>614</v>
      </c>
      <c r="B222" s="1" t="s">
        <v>14</v>
      </c>
      <c r="C222" s="1" t="s">
        <v>389</v>
      </c>
      <c r="D222" s="1" t="s">
        <v>405</v>
      </c>
      <c r="E222" s="1" t="s">
        <v>615</v>
      </c>
      <c r="G222" s="1" t="s">
        <v>616</v>
      </c>
    </row>
    <row r="223" spans="1:7" x14ac:dyDescent="0.3">
      <c r="A223" s="1" t="s">
        <v>617</v>
      </c>
      <c r="B223" s="1" t="s">
        <v>13</v>
      </c>
      <c r="C223" s="1" t="s">
        <v>408</v>
      </c>
      <c r="D223" s="1" t="s">
        <v>401</v>
      </c>
      <c r="E223" s="1" t="s">
        <v>211</v>
      </c>
      <c r="F223">
        <v>4600</v>
      </c>
      <c r="G223" s="1" t="s">
        <v>66</v>
      </c>
    </row>
    <row r="224" spans="1:7" x14ac:dyDescent="0.3">
      <c r="A224" s="1" t="s">
        <v>343</v>
      </c>
      <c r="B224" s="1" t="s">
        <v>21</v>
      </c>
      <c r="C224" s="1" t="s">
        <v>251</v>
      </c>
      <c r="D224" s="1" t="s">
        <v>398</v>
      </c>
      <c r="E224" s="1" t="s">
        <v>219</v>
      </c>
      <c r="F224">
        <v>6800</v>
      </c>
      <c r="G224" s="1" t="s">
        <v>70</v>
      </c>
    </row>
    <row r="225" spans="1:7" x14ac:dyDescent="0.3">
      <c r="A225" s="1" t="s">
        <v>618</v>
      </c>
      <c r="B225" s="1" t="s">
        <v>13</v>
      </c>
      <c r="C225" s="1" t="s">
        <v>424</v>
      </c>
      <c r="D225" s="1" t="s">
        <v>410</v>
      </c>
      <c r="E225" s="1" t="s">
        <v>51</v>
      </c>
      <c r="G225" s="1" t="s">
        <v>52</v>
      </c>
    </row>
    <row r="226" spans="1:7" x14ac:dyDescent="0.3">
      <c r="A226" s="1" t="s">
        <v>619</v>
      </c>
      <c r="B226" s="1" t="s">
        <v>16</v>
      </c>
      <c r="C226" s="1" t="s">
        <v>388</v>
      </c>
      <c r="D226" s="1" t="s">
        <v>389</v>
      </c>
      <c r="E226" s="1" t="s">
        <v>51</v>
      </c>
      <c r="F226">
        <v>3000</v>
      </c>
      <c r="G226" s="1" t="s">
        <v>52</v>
      </c>
    </row>
    <row r="227" spans="1:7" x14ac:dyDescent="0.3">
      <c r="A227" s="1" t="s">
        <v>620</v>
      </c>
      <c r="B227" s="1" t="s">
        <v>21</v>
      </c>
      <c r="C227" s="1" t="s">
        <v>397</v>
      </c>
      <c r="D227" s="1" t="s">
        <v>422</v>
      </c>
      <c r="E227" s="1" t="s">
        <v>621</v>
      </c>
      <c r="G227" s="1" t="s">
        <v>545</v>
      </c>
    </row>
    <row r="228" spans="1:7" x14ac:dyDescent="0.3">
      <c r="A228" s="1" t="s">
        <v>622</v>
      </c>
      <c r="B228" s="1" t="s">
        <v>16</v>
      </c>
      <c r="C228" s="1" t="s">
        <v>396</v>
      </c>
      <c r="D228" s="1" t="s">
        <v>397</v>
      </c>
      <c r="E228" s="1" t="s">
        <v>51</v>
      </c>
      <c r="F228">
        <v>3000</v>
      </c>
      <c r="G228" s="1" t="s">
        <v>52</v>
      </c>
    </row>
    <row r="229" spans="1:7" x14ac:dyDescent="0.3">
      <c r="A229" s="1" t="s">
        <v>344</v>
      </c>
      <c r="B229" s="1" t="s">
        <v>21</v>
      </c>
      <c r="C229" s="1" t="s">
        <v>251</v>
      </c>
      <c r="D229" s="1" t="s">
        <v>398</v>
      </c>
      <c r="E229" s="1" t="s">
        <v>69</v>
      </c>
      <c r="G229" s="1" t="s">
        <v>69</v>
      </c>
    </row>
    <row r="230" spans="1:7" x14ac:dyDescent="0.3">
      <c r="A230" s="1" t="s">
        <v>623</v>
      </c>
      <c r="B230" s="1" t="s">
        <v>21</v>
      </c>
      <c r="C230" s="1" t="s">
        <v>392</v>
      </c>
      <c r="D230" s="1" t="s">
        <v>385</v>
      </c>
      <c r="E230" s="1" t="s">
        <v>100</v>
      </c>
      <c r="F230">
        <v>7800</v>
      </c>
      <c r="G230" s="1" t="s">
        <v>85</v>
      </c>
    </row>
    <row r="231" spans="1:7" x14ac:dyDescent="0.3">
      <c r="A231" s="1" t="s">
        <v>624</v>
      </c>
      <c r="B231" s="1" t="s">
        <v>16</v>
      </c>
      <c r="C231" s="1" t="s">
        <v>427</v>
      </c>
      <c r="D231" s="1" t="s">
        <v>428</v>
      </c>
      <c r="E231" s="1" t="s">
        <v>90</v>
      </c>
      <c r="F231">
        <v>3000</v>
      </c>
      <c r="G231" s="1" t="s">
        <v>52</v>
      </c>
    </row>
    <row r="232" spans="1:7" x14ac:dyDescent="0.3">
      <c r="A232" s="1" t="s">
        <v>625</v>
      </c>
      <c r="B232" s="1" t="s">
        <v>13</v>
      </c>
      <c r="C232" s="1" t="s">
        <v>389</v>
      </c>
      <c r="D232" s="1" t="s">
        <v>405</v>
      </c>
      <c r="E232" s="1" t="s">
        <v>62</v>
      </c>
      <c r="G232" s="1" t="s">
        <v>55</v>
      </c>
    </row>
    <row r="233" spans="1:7" x14ac:dyDescent="0.3">
      <c r="A233" s="1" t="s">
        <v>626</v>
      </c>
      <c r="B233" s="1" t="s">
        <v>21</v>
      </c>
      <c r="C233" s="1" t="s">
        <v>428</v>
      </c>
      <c r="D233" s="1" t="s">
        <v>431</v>
      </c>
      <c r="E233" s="1" t="s">
        <v>69</v>
      </c>
      <c r="G233" s="1" t="s">
        <v>69</v>
      </c>
    </row>
    <row r="234" spans="1:7" x14ac:dyDescent="0.3">
      <c r="A234" s="1" t="s">
        <v>627</v>
      </c>
      <c r="B234" s="1" t="s">
        <v>13</v>
      </c>
      <c r="C234" s="1" t="s">
        <v>410</v>
      </c>
      <c r="D234" s="1" t="s">
        <v>411</v>
      </c>
      <c r="E234" s="1" t="s">
        <v>51</v>
      </c>
      <c r="G234" s="1" t="s">
        <v>52</v>
      </c>
    </row>
    <row r="235" spans="1:7" x14ac:dyDescent="0.3">
      <c r="A235" s="1" t="s">
        <v>628</v>
      </c>
      <c r="B235" s="1" t="s">
        <v>21</v>
      </c>
      <c r="C235" s="1" t="s">
        <v>385</v>
      </c>
      <c r="D235" s="1" t="s">
        <v>386</v>
      </c>
      <c r="E235" s="1" t="s">
        <v>91</v>
      </c>
      <c r="F235">
        <v>5700</v>
      </c>
      <c r="G235" s="1" t="s">
        <v>429</v>
      </c>
    </row>
    <row r="236" spans="1:7" x14ac:dyDescent="0.3">
      <c r="A236" s="1" t="s">
        <v>629</v>
      </c>
      <c r="B236" s="1" t="s">
        <v>21</v>
      </c>
      <c r="C236" s="1" t="s">
        <v>410</v>
      </c>
      <c r="D236" s="1" t="s">
        <v>411</v>
      </c>
      <c r="E236" s="1" t="s">
        <v>69</v>
      </c>
      <c r="F236">
        <v>3000</v>
      </c>
      <c r="G236" s="1" t="s">
        <v>52</v>
      </c>
    </row>
    <row r="237" spans="1:7" x14ac:dyDescent="0.3">
      <c r="A237" s="1" t="s">
        <v>630</v>
      </c>
      <c r="B237" s="1" t="s">
        <v>21</v>
      </c>
      <c r="C237" s="1" t="s">
        <v>383</v>
      </c>
      <c r="D237" s="1" t="s">
        <v>305</v>
      </c>
      <c r="E237" s="1" t="s">
        <v>51</v>
      </c>
      <c r="G237" s="1" t="s">
        <v>52</v>
      </c>
    </row>
    <row r="238" spans="1:7" x14ac:dyDescent="0.3">
      <c r="A238" s="1" t="s">
        <v>631</v>
      </c>
      <c r="B238" s="1" t="s">
        <v>16</v>
      </c>
      <c r="C238" s="1" t="s">
        <v>410</v>
      </c>
      <c r="D238" s="1" t="s">
        <v>411</v>
      </c>
      <c r="E238" s="1" t="s">
        <v>98</v>
      </c>
      <c r="G238" s="1" t="s">
        <v>52</v>
      </c>
    </row>
    <row r="239" spans="1:7" x14ac:dyDescent="0.3">
      <c r="A239" s="1" t="s">
        <v>345</v>
      </c>
      <c r="B239" s="1" t="s">
        <v>18</v>
      </c>
      <c r="C239" s="1" t="s">
        <v>251</v>
      </c>
      <c r="D239" s="1" t="s">
        <v>398</v>
      </c>
      <c r="E239" s="1" t="s">
        <v>51</v>
      </c>
      <c r="F239">
        <v>3400</v>
      </c>
      <c r="G239" s="1" t="s">
        <v>52</v>
      </c>
    </row>
    <row r="240" spans="1:7" x14ac:dyDescent="0.3">
      <c r="A240" s="1" t="s">
        <v>632</v>
      </c>
      <c r="B240" s="1" t="s">
        <v>16</v>
      </c>
      <c r="C240" s="1" t="s">
        <v>397</v>
      </c>
      <c r="D240" s="1" t="s">
        <v>422</v>
      </c>
      <c r="E240" s="1" t="s">
        <v>51</v>
      </c>
      <c r="G240" s="1" t="s">
        <v>52</v>
      </c>
    </row>
    <row r="241" spans="1:7" x14ac:dyDescent="0.3">
      <c r="A241" s="1" t="s">
        <v>633</v>
      </c>
      <c r="B241" s="1" t="s">
        <v>16</v>
      </c>
      <c r="C241" s="1" t="s">
        <v>388</v>
      </c>
      <c r="D241" s="1" t="s">
        <v>389</v>
      </c>
      <c r="E241" s="1" t="s">
        <v>89</v>
      </c>
      <c r="F241">
        <v>4600</v>
      </c>
      <c r="G241" s="1" t="s">
        <v>52</v>
      </c>
    </row>
    <row r="242" spans="1:7" x14ac:dyDescent="0.3">
      <c r="A242" s="1" t="s">
        <v>634</v>
      </c>
      <c r="B242" s="1" t="s">
        <v>13</v>
      </c>
      <c r="C242" s="1" t="s">
        <v>389</v>
      </c>
      <c r="D242" s="1" t="s">
        <v>405</v>
      </c>
      <c r="E242" s="1" t="s">
        <v>51</v>
      </c>
      <c r="G242" s="1" t="s">
        <v>52</v>
      </c>
    </row>
    <row r="243" spans="1:7" x14ac:dyDescent="0.3">
      <c r="A243" s="1" t="s">
        <v>635</v>
      </c>
      <c r="B243" s="1" t="s">
        <v>18</v>
      </c>
      <c r="C243" s="1" t="s">
        <v>382</v>
      </c>
      <c r="D243" s="1" t="s">
        <v>414</v>
      </c>
      <c r="E243" s="1" t="s">
        <v>71</v>
      </c>
      <c r="F243">
        <v>4300</v>
      </c>
      <c r="G243" s="1" t="s">
        <v>79</v>
      </c>
    </row>
    <row r="244" spans="1:7" x14ac:dyDescent="0.3">
      <c r="A244" s="1" t="s">
        <v>636</v>
      </c>
      <c r="B244" s="1" t="s">
        <v>21</v>
      </c>
      <c r="C244" s="1" t="s">
        <v>381</v>
      </c>
      <c r="D244" s="1" t="s">
        <v>382</v>
      </c>
      <c r="E244" s="1" t="s">
        <v>89</v>
      </c>
      <c r="F244">
        <v>4100</v>
      </c>
      <c r="G244" s="1" t="s">
        <v>57</v>
      </c>
    </row>
    <row r="245" spans="1:7" x14ac:dyDescent="0.3">
      <c r="A245" s="1" t="s">
        <v>637</v>
      </c>
      <c r="B245" s="1" t="s">
        <v>21</v>
      </c>
      <c r="C245" s="1" t="s">
        <v>396</v>
      </c>
      <c r="D245" s="1" t="s">
        <v>397</v>
      </c>
      <c r="E245" s="1" t="s">
        <v>69</v>
      </c>
      <c r="F245">
        <v>3000</v>
      </c>
      <c r="G245" s="1" t="s">
        <v>69</v>
      </c>
    </row>
    <row r="246" spans="1:7" x14ac:dyDescent="0.3">
      <c r="A246" s="1" t="s">
        <v>346</v>
      </c>
      <c r="B246" s="1" t="s">
        <v>21</v>
      </c>
      <c r="C246" s="1" t="s">
        <v>251</v>
      </c>
      <c r="D246" s="1" t="s">
        <v>398</v>
      </c>
      <c r="E246" s="1" t="s">
        <v>51</v>
      </c>
      <c r="F246">
        <v>3000</v>
      </c>
      <c r="G246" s="1" t="s">
        <v>52</v>
      </c>
    </row>
    <row r="247" spans="1:7" x14ac:dyDescent="0.3">
      <c r="A247" s="1" t="s">
        <v>638</v>
      </c>
      <c r="B247" s="1" t="s">
        <v>14</v>
      </c>
      <c r="C247" s="1" t="s">
        <v>388</v>
      </c>
      <c r="D247" s="1" t="s">
        <v>389</v>
      </c>
      <c r="E247" s="1" t="s">
        <v>51</v>
      </c>
      <c r="F247">
        <v>3000</v>
      </c>
      <c r="G247" s="1" t="s">
        <v>52</v>
      </c>
    </row>
    <row r="248" spans="1:7" x14ac:dyDescent="0.3">
      <c r="A248" s="1" t="s">
        <v>639</v>
      </c>
      <c r="B248" s="1" t="s">
        <v>21</v>
      </c>
      <c r="C248" s="1" t="s">
        <v>410</v>
      </c>
      <c r="D248" s="1" t="s">
        <v>411</v>
      </c>
      <c r="E248" s="1" t="s">
        <v>94</v>
      </c>
      <c r="G248" s="1" t="s">
        <v>92</v>
      </c>
    </row>
    <row r="249" spans="1:7" x14ac:dyDescent="0.3">
      <c r="A249" s="1" t="s">
        <v>640</v>
      </c>
      <c r="B249" s="1" t="s">
        <v>16</v>
      </c>
      <c r="C249" s="1" t="s">
        <v>397</v>
      </c>
      <c r="D249" s="1" t="s">
        <v>422</v>
      </c>
      <c r="E249" s="1" t="s">
        <v>65</v>
      </c>
      <c r="G249" s="1" t="s">
        <v>59</v>
      </c>
    </row>
    <row r="250" spans="1:7" x14ac:dyDescent="0.3">
      <c r="A250" s="1" t="s">
        <v>641</v>
      </c>
      <c r="B250" s="1" t="s">
        <v>21</v>
      </c>
      <c r="C250" s="1" t="s">
        <v>383</v>
      </c>
      <c r="D250" s="1" t="s">
        <v>305</v>
      </c>
      <c r="E250" s="1" t="s">
        <v>72</v>
      </c>
      <c r="G250" s="1" t="s">
        <v>52</v>
      </c>
    </row>
    <row r="251" spans="1:7" x14ac:dyDescent="0.3">
      <c r="A251" s="1" t="s">
        <v>642</v>
      </c>
      <c r="B251" s="1" t="s">
        <v>21</v>
      </c>
      <c r="C251" s="1" t="s">
        <v>427</v>
      </c>
      <c r="D251" s="1" t="s">
        <v>428</v>
      </c>
      <c r="E251" s="1" t="s">
        <v>232</v>
      </c>
      <c r="F251">
        <v>6100</v>
      </c>
      <c r="G251" s="1" t="s">
        <v>61</v>
      </c>
    </row>
    <row r="252" spans="1:7" x14ac:dyDescent="0.3">
      <c r="A252" s="1" t="s">
        <v>643</v>
      </c>
      <c r="B252" s="1" t="s">
        <v>14</v>
      </c>
      <c r="C252" s="1" t="s">
        <v>382</v>
      </c>
      <c r="D252" s="1" t="s">
        <v>414</v>
      </c>
      <c r="E252" s="1" t="s">
        <v>67</v>
      </c>
      <c r="F252">
        <v>7500</v>
      </c>
      <c r="G252" s="1" t="s">
        <v>217</v>
      </c>
    </row>
    <row r="253" spans="1:7" x14ac:dyDescent="0.3">
      <c r="A253" s="1" t="s">
        <v>644</v>
      </c>
      <c r="B253" s="1" t="s">
        <v>21</v>
      </c>
      <c r="C253" s="1" t="s">
        <v>396</v>
      </c>
      <c r="D253" s="1" t="s">
        <v>397</v>
      </c>
      <c r="E253" s="1" t="s">
        <v>51</v>
      </c>
      <c r="F253">
        <v>3000</v>
      </c>
      <c r="G253" s="1" t="s">
        <v>52</v>
      </c>
    </row>
    <row r="254" spans="1:7" x14ac:dyDescent="0.3">
      <c r="A254" s="1" t="s">
        <v>645</v>
      </c>
      <c r="B254" s="1" t="s">
        <v>18</v>
      </c>
      <c r="C254" s="1" t="s">
        <v>396</v>
      </c>
      <c r="D254" s="1" t="s">
        <v>397</v>
      </c>
      <c r="E254" s="1" t="s">
        <v>211</v>
      </c>
      <c r="F254">
        <v>4900</v>
      </c>
      <c r="G254" s="1" t="s">
        <v>93</v>
      </c>
    </row>
    <row r="255" spans="1:7" x14ac:dyDescent="0.3">
      <c r="A255" s="1" t="s">
        <v>646</v>
      </c>
      <c r="B255" s="1" t="s">
        <v>18</v>
      </c>
      <c r="C255" s="1" t="s">
        <v>383</v>
      </c>
      <c r="D255" s="1" t="s">
        <v>305</v>
      </c>
      <c r="E255" s="1" t="s">
        <v>103</v>
      </c>
      <c r="G255" s="1" t="s">
        <v>82</v>
      </c>
    </row>
    <row r="256" spans="1:7" x14ac:dyDescent="0.3">
      <c r="A256" s="1" t="s">
        <v>347</v>
      </c>
      <c r="B256" s="1" t="s">
        <v>16</v>
      </c>
      <c r="C256" s="1" t="s">
        <v>257</v>
      </c>
      <c r="D256" s="1" t="s">
        <v>383</v>
      </c>
      <c r="E256" s="1" t="s">
        <v>71</v>
      </c>
      <c r="F256">
        <v>4700</v>
      </c>
      <c r="G256" s="1" t="s">
        <v>55</v>
      </c>
    </row>
    <row r="257" spans="1:7" x14ac:dyDescent="0.3">
      <c r="A257" s="1" t="s">
        <v>647</v>
      </c>
      <c r="B257" s="1" t="s">
        <v>16</v>
      </c>
      <c r="C257" s="1" t="s">
        <v>383</v>
      </c>
      <c r="D257" s="1" t="s">
        <v>305</v>
      </c>
      <c r="E257" s="1" t="s">
        <v>51</v>
      </c>
      <c r="G257" s="1" t="s">
        <v>52</v>
      </c>
    </row>
    <row r="258" spans="1:7" x14ac:dyDescent="0.3">
      <c r="A258" s="1" t="s">
        <v>648</v>
      </c>
      <c r="B258" s="1" t="s">
        <v>18</v>
      </c>
      <c r="C258" s="1" t="s">
        <v>397</v>
      </c>
      <c r="D258" s="1" t="s">
        <v>422</v>
      </c>
      <c r="E258" s="1" t="s">
        <v>51</v>
      </c>
      <c r="G258" s="1" t="s">
        <v>52</v>
      </c>
    </row>
    <row r="259" spans="1:7" x14ac:dyDescent="0.3">
      <c r="A259" s="1" t="s">
        <v>649</v>
      </c>
      <c r="B259" s="1" t="s">
        <v>21</v>
      </c>
      <c r="C259" s="1" t="s">
        <v>383</v>
      </c>
      <c r="D259" s="1" t="s">
        <v>305</v>
      </c>
      <c r="E259" s="1" t="s">
        <v>69</v>
      </c>
      <c r="G259" s="1" t="s">
        <v>69</v>
      </c>
    </row>
    <row r="260" spans="1:7" x14ac:dyDescent="0.3">
      <c r="A260" s="1" t="s">
        <v>650</v>
      </c>
      <c r="B260" s="1" t="s">
        <v>21</v>
      </c>
      <c r="C260" s="1" t="s">
        <v>381</v>
      </c>
      <c r="D260" s="1" t="s">
        <v>382</v>
      </c>
      <c r="E260" s="1" t="s">
        <v>51</v>
      </c>
      <c r="F260">
        <v>3000</v>
      </c>
      <c r="G260" s="1" t="s">
        <v>52</v>
      </c>
    </row>
    <row r="261" spans="1:7" x14ac:dyDescent="0.3">
      <c r="A261" s="1" t="s">
        <v>651</v>
      </c>
      <c r="B261" s="1" t="s">
        <v>18</v>
      </c>
      <c r="C261" s="1" t="s">
        <v>392</v>
      </c>
      <c r="D261" s="1" t="s">
        <v>385</v>
      </c>
      <c r="E261" s="1" t="s">
        <v>76</v>
      </c>
      <c r="F261">
        <v>6100</v>
      </c>
      <c r="G261" s="1" t="s">
        <v>80</v>
      </c>
    </row>
    <row r="262" spans="1:7" x14ac:dyDescent="0.3">
      <c r="A262" s="1" t="s">
        <v>652</v>
      </c>
      <c r="B262" s="1" t="s">
        <v>13</v>
      </c>
      <c r="C262" s="1" t="s">
        <v>392</v>
      </c>
      <c r="D262" s="1" t="s">
        <v>385</v>
      </c>
      <c r="E262" s="1" t="s">
        <v>69</v>
      </c>
      <c r="F262">
        <v>3000</v>
      </c>
      <c r="G262" s="1" t="s">
        <v>69</v>
      </c>
    </row>
    <row r="263" spans="1:7" x14ac:dyDescent="0.3">
      <c r="A263" s="1" t="s">
        <v>653</v>
      </c>
      <c r="B263" s="1" t="s">
        <v>18</v>
      </c>
      <c r="C263" s="1" t="s">
        <v>388</v>
      </c>
      <c r="D263" s="1" t="s">
        <v>389</v>
      </c>
      <c r="E263" s="1" t="s">
        <v>51</v>
      </c>
      <c r="F263">
        <v>3000</v>
      </c>
      <c r="G263" s="1" t="s">
        <v>52</v>
      </c>
    </row>
    <row r="264" spans="1:7" x14ac:dyDescent="0.3">
      <c r="A264" s="1" t="s">
        <v>654</v>
      </c>
      <c r="B264" s="1" t="s">
        <v>18</v>
      </c>
      <c r="C264" s="1" t="s">
        <v>396</v>
      </c>
      <c r="D264" s="1" t="s">
        <v>397</v>
      </c>
      <c r="E264" s="1" t="s">
        <v>218</v>
      </c>
      <c r="F264">
        <v>4500</v>
      </c>
      <c r="G264" s="1" t="s">
        <v>52</v>
      </c>
    </row>
    <row r="265" spans="1:7" x14ac:dyDescent="0.3">
      <c r="A265" s="1" t="s">
        <v>655</v>
      </c>
      <c r="B265" s="1" t="s">
        <v>18</v>
      </c>
      <c r="C265" s="1" t="s">
        <v>382</v>
      </c>
      <c r="D265" s="1" t="s">
        <v>414</v>
      </c>
      <c r="E265" s="1" t="s">
        <v>51</v>
      </c>
      <c r="F265">
        <v>3000</v>
      </c>
      <c r="G265" s="1" t="s">
        <v>52</v>
      </c>
    </row>
    <row r="266" spans="1:7" x14ac:dyDescent="0.3">
      <c r="A266" s="1" t="s">
        <v>656</v>
      </c>
      <c r="B266" s="1" t="s">
        <v>16</v>
      </c>
      <c r="C266" s="1" t="s">
        <v>398</v>
      </c>
      <c r="D266" s="1" t="s">
        <v>311</v>
      </c>
      <c r="E266" s="1" t="s">
        <v>88</v>
      </c>
      <c r="F266">
        <v>5000</v>
      </c>
      <c r="G266" s="1" t="s">
        <v>92</v>
      </c>
    </row>
    <row r="267" spans="1:7" x14ac:dyDescent="0.3">
      <c r="A267" s="1" t="s">
        <v>657</v>
      </c>
      <c r="B267" s="1" t="s">
        <v>13</v>
      </c>
      <c r="C267" s="1" t="s">
        <v>410</v>
      </c>
      <c r="D267" s="1" t="s">
        <v>411</v>
      </c>
      <c r="E267" s="1" t="s">
        <v>69</v>
      </c>
      <c r="G267" s="1" t="s">
        <v>52</v>
      </c>
    </row>
    <row r="268" spans="1:7" x14ac:dyDescent="0.3">
      <c r="A268" s="1" t="s">
        <v>348</v>
      </c>
      <c r="B268" s="1" t="s">
        <v>18</v>
      </c>
      <c r="C268" s="1" t="s">
        <v>251</v>
      </c>
      <c r="D268" s="1" t="s">
        <v>398</v>
      </c>
      <c r="E268" s="1" t="s">
        <v>235</v>
      </c>
      <c r="F268">
        <v>9100</v>
      </c>
      <c r="G268" s="1" t="s">
        <v>99</v>
      </c>
    </row>
    <row r="269" spans="1:7" x14ac:dyDescent="0.3">
      <c r="A269" s="1" t="s">
        <v>658</v>
      </c>
      <c r="B269" s="1" t="s">
        <v>18</v>
      </c>
      <c r="C269" s="1" t="s">
        <v>427</v>
      </c>
      <c r="D269" s="1" t="s">
        <v>428</v>
      </c>
      <c r="E269" s="1" t="s">
        <v>51</v>
      </c>
      <c r="F269">
        <v>3000</v>
      </c>
      <c r="G269" s="1" t="s">
        <v>52</v>
      </c>
    </row>
    <row r="270" spans="1:7" x14ac:dyDescent="0.3">
      <c r="A270" s="1" t="s">
        <v>659</v>
      </c>
      <c r="B270" s="1" t="s">
        <v>16</v>
      </c>
      <c r="C270" s="1" t="s">
        <v>396</v>
      </c>
      <c r="D270" s="1" t="s">
        <v>397</v>
      </c>
      <c r="E270" s="1" t="s">
        <v>72</v>
      </c>
      <c r="F270">
        <v>3300</v>
      </c>
      <c r="G270" s="1" t="s">
        <v>52</v>
      </c>
    </row>
    <row r="271" spans="1:7" x14ac:dyDescent="0.3">
      <c r="A271" s="1" t="s">
        <v>660</v>
      </c>
      <c r="B271" s="1" t="s">
        <v>18</v>
      </c>
      <c r="C271" s="1" t="s">
        <v>424</v>
      </c>
      <c r="D271" s="1" t="s">
        <v>410</v>
      </c>
      <c r="E271" s="1" t="s">
        <v>86</v>
      </c>
      <c r="G271" s="1" t="s">
        <v>57</v>
      </c>
    </row>
    <row r="272" spans="1:7" x14ac:dyDescent="0.3">
      <c r="A272" s="1" t="s">
        <v>661</v>
      </c>
      <c r="B272" s="1" t="s">
        <v>16</v>
      </c>
      <c r="C272" s="1" t="s">
        <v>392</v>
      </c>
      <c r="D272" s="1" t="s">
        <v>385</v>
      </c>
      <c r="E272" s="1" t="s">
        <v>64</v>
      </c>
      <c r="F272">
        <v>3500</v>
      </c>
      <c r="G272" s="1" t="s">
        <v>52</v>
      </c>
    </row>
    <row r="273" spans="1:7" x14ac:dyDescent="0.3">
      <c r="A273" s="1" t="s">
        <v>662</v>
      </c>
      <c r="B273" s="1" t="s">
        <v>14</v>
      </c>
      <c r="C273" s="1" t="s">
        <v>410</v>
      </c>
      <c r="D273" s="1" t="s">
        <v>411</v>
      </c>
      <c r="E273" s="1" t="s">
        <v>87</v>
      </c>
      <c r="G273" s="1" t="s">
        <v>101</v>
      </c>
    </row>
    <row r="274" spans="1:7" x14ac:dyDescent="0.3">
      <c r="A274" s="1" t="s">
        <v>663</v>
      </c>
      <c r="B274" s="1" t="s">
        <v>16</v>
      </c>
      <c r="C274" s="1" t="s">
        <v>382</v>
      </c>
      <c r="D274" s="1" t="s">
        <v>414</v>
      </c>
      <c r="E274" s="1" t="s">
        <v>95</v>
      </c>
      <c r="F274">
        <v>4900</v>
      </c>
      <c r="G274" s="1" t="s">
        <v>55</v>
      </c>
    </row>
    <row r="275" spans="1:7" x14ac:dyDescent="0.3">
      <c r="A275" s="1" t="s">
        <v>350</v>
      </c>
      <c r="B275" s="1" t="s">
        <v>14</v>
      </c>
      <c r="C275" s="1" t="s">
        <v>251</v>
      </c>
      <c r="D275" s="1" t="s">
        <v>398</v>
      </c>
      <c r="E275" s="1" t="s">
        <v>51</v>
      </c>
      <c r="F275">
        <v>3000</v>
      </c>
      <c r="G275" s="1" t="s">
        <v>52</v>
      </c>
    </row>
    <row r="276" spans="1:7" x14ac:dyDescent="0.3">
      <c r="A276" s="1" t="s">
        <v>664</v>
      </c>
      <c r="B276" s="1" t="s">
        <v>21</v>
      </c>
      <c r="C276" s="1" t="s">
        <v>398</v>
      </c>
      <c r="D276" s="1" t="s">
        <v>311</v>
      </c>
      <c r="E276" s="1" t="s">
        <v>233</v>
      </c>
      <c r="F276">
        <v>4800</v>
      </c>
      <c r="G276" s="1" t="s">
        <v>66</v>
      </c>
    </row>
    <row r="277" spans="1:7" x14ac:dyDescent="0.3">
      <c r="A277" s="1" t="s">
        <v>665</v>
      </c>
      <c r="B277" s="1" t="s">
        <v>16</v>
      </c>
      <c r="C277" s="1" t="s">
        <v>398</v>
      </c>
      <c r="D277" s="1" t="s">
        <v>311</v>
      </c>
      <c r="E277" s="1" t="s">
        <v>51</v>
      </c>
      <c r="F277">
        <v>3000</v>
      </c>
      <c r="G277" s="1" t="s">
        <v>52</v>
      </c>
    </row>
    <row r="278" spans="1:7" x14ac:dyDescent="0.3">
      <c r="A278" s="1" t="s">
        <v>666</v>
      </c>
      <c r="B278" s="1" t="s">
        <v>16</v>
      </c>
      <c r="C278" s="1" t="s">
        <v>381</v>
      </c>
      <c r="D278" s="1" t="s">
        <v>382</v>
      </c>
      <c r="E278" s="1" t="s">
        <v>51</v>
      </c>
      <c r="F278">
        <v>3000</v>
      </c>
      <c r="G278" s="1" t="s">
        <v>52</v>
      </c>
    </row>
    <row r="279" spans="1:7" x14ac:dyDescent="0.3">
      <c r="A279" s="1" t="s">
        <v>667</v>
      </c>
      <c r="B279" s="1" t="s">
        <v>21</v>
      </c>
      <c r="C279" s="1" t="s">
        <v>385</v>
      </c>
      <c r="D279" s="1" t="s">
        <v>386</v>
      </c>
      <c r="E279" s="1" t="s">
        <v>78</v>
      </c>
      <c r="F279">
        <v>4600</v>
      </c>
      <c r="G279" s="1" t="s">
        <v>57</v>
      </c>
    </row>
    <row r="280" spans="1:7" x14ac:dyDescent="0.3">
      <c r="A280" s="1" t="s">
        <v>668</v>
      </c>
      <c r="B280" s="1" t="s">
        <v>21</v>
      </c>
      <c r="C280" s="1" t="s">
        <v>396</v>
      </c>
      <c r="D280" s="1" t="s">
        <v>397</v>
      </c>
      <c r="E280" s="1" t="s">
        <v>98</v>
      </c>
      <c r="F280">
        <v>3500</v>
      </c>
      <c r="G280" s="1" t="s">
        <v>52</v>
      </c>
    </row>
    <row r="281" spans="1:7" x14ac:dyDescent="0.3">
      <c r="A281" s="1" t="s">
        <v>669</v>
      </c>
      <c r="B281" s="1" t="s">
        <v>21</v>
      </c>
      <c r="C281" s="1" t="s">
        <v>383</v>
      </c>
      <c r="D281" s="1" t="s">
        <v>305</v>
      </c>
      <c r="E281" s="1" t="s">
        <v>74</v>
      </c>
      <c r="G281" s="1" t="s">
        <v>52</v>
      </c>
    </row>
    <row r="282" spans="1:7" x14ac:dyDescent="0.3">
      <c r="A282" s="1" t="s">
        <v>670</v>
      </c>
      <c r="B282" s="1" t="s">
        <v>21</v>
      </c>
      <c r="C282" s="1" t="s">
        <v>428</v>
      </c>
      <c r="D282" s="1" t="s">
        <v>431</v>
      </c>
      <c r="E282" s="1" t="s">
        <v>211</v>
      </c>
      <c r="F282">
        <v>3800</v>
      </c>
      <c r="G282" s="1" t="s">
        <v>52</v>
      </c>
    </row>
    <row r="283" spans="1:7" x14ac:dyDescent="0.3">
      <c r="A283" s="1" t="s">
        <v>351</v>
      </c>
      <c r="B283" s="1" t="s">
        <v>21</v>
      </c>
      <c r="C283" s="1" t="s">
        <v>257</v>
      </c>
      <c r="D283" s="1" t="s">
        <v>383</v>
      </c>
      <c r="E283" s="1" t="s">
        <v>58</v>
      </c>
      <c r="F283">
        <v>3400</v>
      </c>
      <c r="G283" s="1" t="s">
        <v>52</v>
      </c>
    </row>
    <row r="284" spans="1:7" x14ac:dyDescent="0.3">
      <c r="A284" s="1" t="s">
        <v>671</v>
      </c>
      <c r="B284" s="1" t="s">
        <v>14</v>
      </c>
      <c r="C284" s="1" t="s">
        <v>397</v>
      </c>
      <c r="D284" s="1" t="s">
        <v>422</v>
      </c>
      <c r="E284" s="1" t="s">
        <v>211</v>
      </c>
      <c r="G284" s="1" t="s">
        <v>52</v>
      </c>
    </row>
    <row r="285" spans="1:7" x14ac:dyDescent="0.3">
      <c r="A285" s="1" t="s">
        <v>672</v>
      </c>
      <c r="B285" s="1" t="s">
        <v>16</v>
      </c>
      <c r="C285" s="1" t="s">
        <v>388</v>
      </c>
      <c r="D285" s="1" t="s">
        <v>389</v>
      </c>
      <c r="E285" s="1" t="s">
        <v>65</v>
      </c>
      <c r="F285">
        <v>5500</v>
      </c>
      <c r="G285" s="1" t="s">
        <v>55</v>
      </c>
    </row>
    <row r="286" spans="1:7" x14ac:dyDescent="0.3">
      <c r="A286" s="1" t="s">
        <v>673</v>
      </c>
      <c r="B286" s="1" t="s">
        <v>21</v>
      </c>
      <c r="C286" s="1" t="s">
        <v>428</v>
      </c>
      <c r="D286" s="1" t="s">
        <v>431</v>
      </c>
      <c r="E286" s="1" t="s">
        <v>51</v>
      </c>
      <c r="F286">
        <v>3000</v>
      </c>
      <c r="G286" s="1" t="s">
        <v>52</v>
      </c>
    </row>
    <row r="287" spans="1:7" x14ac:dyDescent="0.3">
      <c r="A287" s="1" t="s">
        <v>674</v>
      </c>
      <c r="B287" s="1" t="s">
        <v>13</v>
      </c>
      <c r="C287" s="1" t="s">
        <v>396</v>
      </c>
      <c r="D287" s="1" t="s">
        <v>397</v>
      </c>
      <c r="E287" s="1" t="s">
        <v>75</v>
      </c>
      <c r="F287">
        <v>6600</v>
      </c>
      <c r="G287" s="1" t="s">
        <v>83</v>
      </c>
    </row>
    <row r="288" spans="1:7" x14ac:dyDescent="0.3">
      <c r="A288" s="1" t="s">
        <v>675</v>
      </c>
      <c r="B288" s="1" t="s">
        <v>13</v>
      </c>
      <c r="C288" s="1" t="s">
        <v>428</v>
      </c>
      <c r="D288" s="1" t="s">
        <v>431</v>
      </c>
      <c r="E288" s="1" t="s">
        <v>51</v>
      </c>
      <c r="F288">
        <v>3000</v>
      </c>
      <c r="G288" s="1" t="s">
        <v>52</v>
      </c>
    </row>
    <row r="289" spans="1:7" x14ac:dyDescent="0.3">
      <c r="A289" s="1" t="s">
        <v>676</v>
      </c>
      <c r="B289" s="1" t="s">
        <v>16</v>
      </c>
      <c r="C289" s="1" t="s">
        <v>385</v>
      </c>
      <c r="D289" s="1" t="s">
        <v>386</v>
      </c>
      <c r="E289" s="1" t="s">
        <v>320</v>
      </c>
      <c r="F289">
        <v>7300</v>
      </c>
      <c r="G289" s="1" t="s">
        <v>538</v>
      </c>
    </row>
    <row r="290" spans="1:7" x14ac:dyDescent="0.3">
      <c r="A290" s="1" t="s">
        <v>677</v>
      </c>
      <c r="B290" s="1" t="s">
        <v>14</v>
      </c>
      <c r="C290" s="1" t="s">
        <v>388</v>
      </c>
      <c r="D290" s="1" t="s">
        <v>389</v>
      </c>
      <c r="E290" s="1" t="s">
        <v>51</v>
      </c>
      <c r="F290">
        <v>3000</v>
      </c>
      <c r="G290" s="1" t="s">
        <v>52</v>
      </c>
    </row>
    <row r="291" spans="1:7" x14ac:dyDescent="0.3">
      <c r="A291" s="1" t="s">
        <v>678</v>
      </c>
      <c r="B291" s="1" t="s">
        <v>18</v>
      </c>
      <c r="C291" s="1" t="s">
        <v>383</v>
      </c>
      <c r="D291" s="1" t="s">
        <v>305</v>
      </c>
      <c r="E291" s="1" t="s">
        <v>71</v>
      </c>
      <c r="G291" s="1" t="s">
        <v>59</v>
      </c>
    </row>
    <row r="292" spans="1:7" x14ac:dyDescent="0.3">
      <c r="A292" s="1" t="s">
        <v>679</v>
      </c>
      <c r="B292" s="1" t="s">
        <v>21</v>
      </c>
      <c r="C292" s="1" t="s">
        <v>385</v>
      </c>
      <c r="D292" s="1" t="s">
        <v>386</v>
      </c>
      <c r="E292" s="1" t="s">
        <v>51</v>
      </c>
      <c r="F292">
        <v>3100</v>
      </c>
      <c r="G292" s="1" t="s">
        <v>52</v>
      </c>
    </row>
    <row r="293" spans="1:7" x14ac:dyDescent="0.3">
      <c r="A293" s="1" t="s">
        <v>680</v>
      </c>
      <c r="B293" s="1" t="s">
        <v>14</v>
      </c>
      <c r="C293" s="1" t="s">
        <v>427</v>
      </c>
      <c r="D293" s="1" t="s">
        <v>428</v>
      </c>
      <c r="E293" s="1" t="s">
        <v>62</v>
      </c>
      <c r="F293">
        <v>4400</v>
      </c>
      <c r="G293" s="1" t="s">
        <v>63</v>
      </c>
    </row>
    <row r="294" spans="1:7" x14ac:dyDescent="0.3">
      <c r="A294" s="1" t="s">
        <v>681</v>
      </c>
      <c r="B294" s="1" t="s">
        <v>14</v>
      </c>
      <c r="C294" s="1" t="s">
        <v>427</v>
      </c>
      <c r="D294" s="1" t="s">
        <v>428</v>
      </c>
      <c r="E294" s="1" t="s">
        <v>77</v>
      </c>
      <c r="F294">
        <v>4300</v>
      </c>
      <c r="G294" s="1" t="s">
        <v>57</v>
      </c>
    </row>
    <row r="295" spans="1:7" x14ac:dyDescent="0.3">
      <c r="A295" s="1" t="s">
        <v>682</v>
      </c>
      <c r="B295" s="1" t="s">
        <v>18</v>
      </c>
      <c r="C295" s="1" t="s">
        <v>427</v>
      </c>
      <c r="D295" s="1" t="s">
        <v>428</v>
      </c>
      <c r="E295" s="1" t="s">
        <v>342</v>
      </c>
      <c r="F295">
        <v>8200</v>
      </c>
      <c r="G295" s="1" t="s">
        <v>683</v>
      </c>
    </row>
    <row r="296" spans="1:7" x14ac:dyDescent="0.3">
      <c r="A296" s="1" t="s">
        <v>352</v>
      </c>
      <c r="B296" s="1" t="s">
        <v>16</v>
      </c>
      <c r="C296" s="1" t="s">
        <v>257</v>
      </c>
      <c r="D296" s="1" t="s">
        <v>383</v>
      </c>
      <c r="E296" s="1" t="s">
        <v>88</v>
      </c>
      <c r="F296">
        <v>4000</v>
      </c>
      <c r="G296" s="1" t="s">
        <v>52</v>
      </c>
    </row>
    <row r="297" spans="1:7" x14ac:dyDescent="0.3">
      <c r="A297" s="1" t="s">
        <v>684</v>
      </c>
      <c r="B297" s="1" t="s">
        <v>21</v>
      </c>
      <c r="C297" s="1" t="s">
        <v>389</v>
      </c>
      <c r="D297" s="1" t="s">
        <v>405</v>
      </c>
      <c r="E297" s="1" t="s">
        <v>685</v>
      </c>
      <c r="G297" s="1" t="s">
        <v>553</v>
      </c>
    </row>
    <row r="298" spans="1:7" x14ac:dyDescent="0.3">
      <c r="A298" s="1" t="s">
        <v>686</v>
      </c>
      <c r="B298" s="1" t="s">
        <v>21</v>
      </c>
      <c r="C298" s="1" t="s">
        <v>396</v>
      </c>
      <c r="D298" s="1" t="s">
        <v>397</v>
      </c>
      <c r="E298" s="1" t="s">
        <v>51</v>
      </c>
      <c r="F298">
        <v>3000</v>
      </c>
      <c r="G298" s="1" t="s">
        <v>52</v>
      </c>
    </row>
    <row r="299" spans="1:7" x14ac:dyDescent="0.3">
      <c r="A299" s="1" t="s">
        <v>687</v>
      </c>
      <c r="B299" s="1" t="s">
        <v>16</v>
      </c>
      <c r="C299" s="1" t="s">
        <v>385</v>
      </c>
      <c r="D299" s="1" t="s">
        <v>386</v>
      </c>
      <c r="E299" s="1" t="s">
        <v>51</v>
      </c>
      <c r="F299">
        <v>3000</v>
      </c>
      <c r="G299" s="1" t="s">
        <v>52</v>
      </c>
    </row>
    <row r="300" spans="1:7" x14ac:dyDescent="0.3">
      <c r="A300" s="1" t="s">
        <v>688</v>
      </c>
      <c r="B300" s="1" t="s">
        <v>13</v>
      </c>
      <c r="C300" s="1" t="s">
        <v>382</v>
      </c>
      <c r="D300" s="1" t="s">
        <v>414</v>
      </c>
      <c r="E300" s="1" t="s">
        <v>51</v>
      </c>
      <c r="F300">
        <v>3000</v>
      </c>
      <c r="G300" s="1" t="s">
        <v>52</v>
      </c>
    </row>
    <row r="301" spans="1:7" x14ac:dyDescent="0.3">
      <c r="A301" s="1" t="s">
        <v>689</v>
      </c>
      <c r="B301" s="1" t="s">
        <v>13</v>
      </c>
      <c r="C301" s="1" t="s">
        <v>381</v>
      </c>
      <c r="D301" s="1" t="s">
        <v>382</v>
      </c>
      <c r="E301" s="1" t="s">
        <v>91</v>
      </c>
      <c r="F301">
        <v>6400</v>
      </c>
      <c r="G301" s="1" t="s">
        <v>212</v>
      </c>
    </row>
    <row r="302" spans="1:7" x14ac:dyDescent="0.3">
      <c r="A302" s="1" t="s">
        <v>690</v>
      </c>
      <c r="B302" s="1" t="s">
        <v>13</v>
      </c>
      <c r="C302" s="1" t="s">
        <v>381</v>
      </c>
      <c r="D302" s="1" t="s">
        <v>382</v>
      </c>
      <c r="E302" s="1" t="s">
        <v>86</v>
      </c>
      <c r="F302">
        <v>4200</v>
      </c>
      <c r="G302" s="1" t="s">
        <v>52</v>
      </c>
    </row>
    <row r="303" spans="1:7" x14ac:dyDescent="0.3">
      <c r="A303" s="1" t="s">
        <v>691</v>
      </c>
      <c r="B303" s="1" t="s">
        <v>21</v>
      </c>
      <c r="C303" s="1" t="s">
        <v>398</v>
      </c>
      <c r="D303" s="1" t="s">
        <v>311</v>
      </c>
      <c r="E303" s="1" t="s">
        <v>69</v>
      </c>
      <c r="G303" s="1" t="s">
        <v>69</v>
      </c>
    </row>
    <row r="304" spans="1:7" x14ac:dyDescent="0.3">
      <c r="A304" s="1" t="s">
        <v>692</v>
      </c>
      <c r="B304" s="1" t="s">
        <v>21</v>
      </c>
      <c r="C304" s="1" t="s">
        <v>424</v>
      </c>
      <c r="D304" s="1" t="s">
        <v>410</v>
      </c>
      <c r="E304" s="1" t="s">
        <v>51</v>
      </c>
      <c r="G304" s="1" t="s">
        <v>52</v>
      </c>
    </row>
    <row r="305" spans="1:7" x14ac:dyDescent="0.3">
      <c r="A305" s="1" t="s">
        <v>693</v>
      </c>
      <c r="B305" s="1" t="s">
        <v>13</v>
      </c>
      <c r="C305" s="1" t="s">
        <v>424</v>
      </c>
      <c r="D305" s="1" t="s">
        <v>410</v>
      </c>
      <c r="E305" s="1" t="s">
        <v>74</v>
      </c>
      <c r="G305" s="1" t="s">
        <v>52</v>
      </c>
    </row>
    <row r="306" spans="1:7" x14ac:dyDescent="0.3">
      <c r="A306" s="1" t="s">
        <v>694</v>
      </c>
      <c r="B306" s="1" t="s">
        <v>14</v>
      </c>
      <c r="C306" s="1" t="s">
        <v>424</v>
      </c>
      <c r="D306" s="1" t="s">
        <v>410</v>
      </c>
      <c r="E306" s="1" t="s">
        <v>51</v>
      </c>
      <c r="G306" s="1" t="s">
        <v>52</v>
      </c>
    </row>
    <row r="307" spans="1:7" x14ac:dyDescent="0.3">
      <c r="A307" s="1" t="s">
        <v>353</v>
      </c>
      <c r="B307" s="1" t="s">
        <v>21</v>
      </c>
      <c r="C307" s="1" t="s">
        <v>257</v>
      </c>
      <c r="D307" s="1" t="s">
        <v>383</v>
      </c>
      <c r="E307" s="1" t="s">
        <v>219</v>
      </c>
      <c r="F307">
        <v>6000</v>
      </c>
      <c r="G307" s="1" t="s">
        <v>61</v>
      </c>
    </row>
    <row r="308" spans="1:7" x14ac:dyDescent="0.3">
      <c r="A308" s="1" t="s">
        <v>695</v>
      </c>
      <c r="B308" s="1" t="s">
        <v>14</v>
      </c>
      <c r="C308" s="1" t="s">
        <v>389</v>
      </c>
      <c r="D308" s="1" t="s">
        <v>405</v>
      </c>
      <c r="E308" s="1" t="s">
        <v>72</v>
      </c>
      <c r="G308" s="1" t="s">
        <v>52</v>
      </c>
    </row>
    <row r="309" spans="1:7" x14ac:dyDescent="0.3">
      <c r="A309" s="1" t="s">
        <v>696</v>
      </c>
      <c r="B309" s="1" t="s">
        <v>13</v>
      </c>
      <c r="C309" s="1" t="s">
        <v>397</v>
      </c>
      <c r="D309" s="1" t="s">
        <v>422</v>
      </c>
      <c r="E309" s="1" t="s">
        <v>51</v>
      </c>
      <c r="G309" s="1" t="s">
        <v>52</v>
      </c>
    </row>
    <row r="310" spans="1:7" x14ac:dyDescent="0.3">
      <c r="A310" s="1" t="s">
        <v>697</v>
      </c>
      <c r="B310" s="1" t="s">
        <v>21</v>
      </c>
      <c r="C310" s="1" t="s">
        <v>392</v>
      </c>
      <c r="D310" s="1" t="s">
        <v>385</v>
      </c>
      <c r="E310" s="1" t="s">
        <v>56</v>
      </c>
      <c r="F310">
        <v>3800</v>
      </c>
      <c r="G310" s="1" t="s">
        <v>52</v>
      </c>
    </row>
    <row r="311" spans="1:7" x14ac:dyDescent="0.3">
      <c r="A311" s="1" t="s">
        <v>698</v>
      </c>
      <c r="B311" s="1" t="s">
        <v>14</v>
      </c>
      <c r="C311" s="1" t="s">
        <v>392</v>
      </c>
      <c r="D311" s="1" t="s">
        <v>385</v>
      </c>
      <c r="E311" s="1" t="s">
        <v>102</v>
      </c>
      <c r="F311">
        <v>4400</v>
      </c>
      <c r="G311" s="1" t="s">
        <v>52</v>
      </c>
    </row>
    <row r="312" spans="1:7" x14ac:dyDescent="0.3">
      <c r="A312" s="1" t="s">
        <v>699</v>
      </c>
      <c r="B312" s="1" t="s">
        <v>18</v>
      </c>
      <c r="C312" s="1" t="s">
        <v>428</v>
      </c>
      <c r="D312" s="1" t="s">
        <v>431</v>
      </c>
      <c r="E312" s="1" t="s">
        <v>69</v>
      </c>
      <c r="G312" s="1" t="s">
        <v>69</v>
      </c>
    </row>
    <row r="313" spans="1:7" x14ac:dyDescent="0.3">
      <c r="A313" s="1" t="s">
        <v>700</v>
      </c>
      <c r="B313" s="1" t="s">
        <v>16</v>
      </c>
      <c r="C313" s="1" t="s">
        <v>396</v>
      </c>
      <c r="D313" s="1" t="s">
        <v>397</v>
      </c>
      <c r="E313" s="1" t="s">
        <v>98</v>
      </c>
      <c r="F313">
        <v>3100</v>
      </c>
      <c r="G313" s="1" t="s">
        <v>52</v>
      </c>
    </row>
    <row r="314" spans="1:7" x14ac:dyDescent="0.3">
      <c r="A314" s="1" t="s">
        <v>701</v>
      </c>
      <c r="B314" s="1" t="s">
        <v>21</v>
      </c>
      <c r="C314" s="1" t="s">
        <v>389</v>
      </c>
      <c r="D314" s="1" t="s">
        <v>405</v>
      </c>
      <c r="E314" s="1" t="s">
        <v>71</v>
      </c>
      <c r="G314" s="1" t="s">
        <v>79</v>
      </c>
    </row>
    <row r="315" spans="1:7" x14ac:dyDescent="0.3">
      <c r="A315" s="1" t="s">
        <v>702</v>
      </c>
      <c r="B315" s="1" t="s">
        <v>13</v>
      </c>
      <c r="C315" s="1" t="s">
        <v>388</v>
      </c>
      <c r="D315" s="1" t="s">
        <v>389</v>
      </c>
      <c r="E315" s="1" t="s">
        <v>51</v>
      </c>
      <c r="F315">
        <v>3000</v>
      </c>
      <c r="G315" s="1" t="s">
        <v>52</v>
      </c>
    </row>
    <row r="316" spans="1:7" x14ac:dyDescent="0.3">
      <c r="A316" s="1" t="s">
        <v>703</v>
      </c>
      <c r="B316" s="1" t="s">
        <v>13</v>
      </c>
      <c r="C316" s="1" t="s">
        <v>383</v>
      </c>
      <c r="D316" s="1" t="s">
        <v>305</v>
      </c>
      <c r="E316" s="1" t="s">
        <v>95</v>
      </c>
      <c r="G316" s="1" t="s">
        <v>101</v>
      </c>
    </row>
    <row r="317" spans="1:7" x14ac:dyDescent="0.3">
      <c r="A317" s="1" t="s">
        <v>704</v>
      </c>
      <c r="B317" s="1" t="s">
        <v>21</v>
      </c>
      <c r="C317" s="1" t="s">
        <v>382</v>
      </c>
      <c r="D317" s="1" t="s">
        <v>414</v>
      </c>
      <c r="E317" s="1" t="s">
        <v>323</v>
      </c>
      <c r="F317">
        <v>7300</v>
      </c>
      <c r="G317" s="1" t="s">
        <v>538</v>
      </c>
    </row>
    <row r="318" spans="1:7" x14ac:dyDescent="0.3">
      <c r="A318" s="1" t="s">
        <v>705</v>
      </c>
      <c r="B318" s="1" t="s">
        <v>14</v>
      </c>
      <c r="C318" s="1" t="s">
        <v>392</v>
      </c>
      <c r="D318" s="1" t="s">
        <v>385</v>
      </c>
      <c r="E318" s="1" t="s">
        <v>51</v>
      </c>
      <c r="F318">
        <v>3000</v>
      </c>
      <c r="G318" s="1" t="s">
        <v>52</v>
      </c>
    </row>
    <row r="319" spans="1:7" x14ac:dyDescent="0.3">
      <c r="A319" s="1" t="s">
        <v>706</v>
      </c>
      <c r="B319" s="1" t="s">
        <v>16</v>
      </c>
      <c r="C319" s="1" t="s">
        <v>408</v>
      </c>
      <c r="D319" s="1" t="s">
        <v>401</v>
      </c>
      <c r="E319" s="1" t="s">
        <v>51</v>
      </c>
      <c r="F319">
        <v>3000</v>
      </c>
      <c r="G319" s="1" t="s">
        <v>52</v>
      </c>
    </row>
    <row r="320" spans="1:7" x14ac:dyDescent="0.3">
      <c r="A320" s="1" t="s">
        <v>707</v>
      </c>
      <c r="B320" s="1" t="s">
        <v>21</v>
      </c>
      <c r="C320" s="1" t="s">
        <v>397</v>
      </c>
      <c r="D320" s="1" t="s">
        <v>422</v>
      </c>
      <c r="E320" s="1" t="s">
        <v>51</v>
      </c>
      <c r="G320" s="1" t="s">
        <v>52</v>
      </c>
    </row>
    <row r="321" spans="1:7" x14ac:dyDescent="0.3">
      <c r="A321" s="1" t="s">
        <v>354</v>
      </c>
      <c r="B321" s="1" t="s">
        <v>18</v>
      </c>
      <c r="C321" s="1" t="s">
        <v>257</v>
      </c>
      <c r="D321" s="1" t="s">
        <v>383</v>
      </c>
      <c r="E321" s="1" t="s">
        <v>98</v>
      </c>
      <c r="F321">
        <v>4100</v>
      </c>
      <c r="G321" s="1" t="s">
        <v>52</v>
      </c>
    </row>
    <row r="322" spans="1:7" x14ac:dyDescent="0.3">
      <c r="A322" s="1" t="s">
        <v>708</v>
      </c>
      <c r="B322" s="1" t="s">
        <v>21</v>
      </c>
      <c r="C322" s="1" t="s">
        <v>383</v>
      </c>
      <c r="D322" s="1" t="s">
        <v>305</v>
      </c>
      <c r="E322" s="1" t="s">
        <v>69</v>
      </c>
      <c r="G322" s="1" t="s">
        <v>52</v>
      </c>
    </row>
    <row r="323" spans="1:7" x14ac:dyDescent="0.3">
      <c r="A323" s="1" t="s">
        <v>709</v>
      </c>
      <c r="B323" s="1" t="s">
        <v>14</v>
      </c>
      <c r="C323" s="1" t="s">
        <v>397</v>
      </c>
      <c r="D323" s="1" t="s">
        <v>422</v>
      </c>
      <c r="E323" s="1" t="s">
        <v>87</v>
      </c>
      <c r="G323" s="1" t="s">
        <v>82</v>
      </c>
    </row>
    <row r="324" spans="1:7" x14ac:dyDescent="0.3">
      <c r="A324" s="1" t="s">
        <v>710</v>
      </c>
      <c r="B324" s="1" t="s">
        <v>13</v>
      </c>
      <c r="C324" s="1" t="s">
        <v>424</v>
      </c>
      <c r="D324" s="1" t="s">
        <v>410</v>
      </c>
      <c r="E324" s="1" t="s">
        <v>64</v>
      </c>
      <c r="G324" s="1" t="s">
        <v>52</v>
      </c>
    </row>
    <row r="325" spans="1:7" x14ac:dyDescent="0.3">
      <c r="A325" s="1" t="s">
        <v>711</v>
      </c>
      <c r="B325" s="1" t="s">
        <v>14</v>
      </c>
      <c r="C325" s="1" t="s">
        <v>381</v>
      </c>
      <c r="D325" s="1" t="s">
        <v>382</v>
      </c>
      <c r="E325" s="1" t="s">
        <v>73</v>
      </c>
      <c r="F325">
        <v>7700</v>
      </c>
      <c r="G325" s="1" t="s">
        <v>217</v>
      </c>
    </row>
    <row r="326" spans="1:7" x14ac:dyDescent="0.3">
      <c r="A326" s="1" t="s">
        <v>355</v>
      </c>
      <c r="B326" s="1" t="s">
        <v>18</v>
      </c>
      <c r="C326" s="1" t="s">
        <v>251</v>
      </c>
      <c r="D326" s="1" t="s">
        <v>398</v>
      </c>
      <c r="E326" s="1" t="s">
        <v>90</v>
      </c>
      <c r="F326">
        <v>3000</v>
      </c>
      <c r="G326" s="1" t="s">
        <v>52</v>
      </c>
    </row>
    <row r="327" spans="1:7" x14ac:dyDescent="0.3">
      <c r="A327" s="1" t="s">
        <v>712</v>
      </c>
      <c r="B327" s="1" t="s">
        <v>14</v>
      </c>
      <c r="C327" s="1" t="s">
        <v>392</v>
      </c>
      <c r="D327" s="1" t="s">
        <v>385</v>
      </c>
      <c r="E327" s="1" t="s">
        <v>102</v>
      </c>
      <c r="F327">
        <v>4300</v>
      </c>
      <c r="G327" s="1" t="s">
        <v>52</v>
      </c>
    </row>
    <row r="328" spans="1:7" x14ac:dyDescent="0.3">
      <c r="A328" s="1" t="s">
        <v>713</v>
      </c>
      <c r="B328" s="1" t="s">
        <v>21</v>
      </c>
      <c r="C328" s="1" t="s">
        <v>424</v>
      </c>
      <c r="D328" s="1" t="s">
        <v>410</v>
      </c>
      <c r="E328" s="1" t="s">
        <v>334</v>
      </c>
      <c r="G328" s="1" t="s">
        <v>714</v>
      </c>
    </row>
    <row r="329" spans="1:7" x14ac:dyDescent="0.3">
      <c r="A329" s="1" t="s">
        <v>715</v>
      </c>
      <c r="B329" s="1" t="s">
        <v>21</v>
      </c>
      <c r="C329" s="1" t="s">
        <v>408</v>
      </c>
      <c r="D329" s="1" t="s">
        <v>401</v>
      </c>
      <c r="E329" s="1" t="s">
        <v>74</v>
      </c>
      <c r="F329">
        <v>3300</v>
      </c>
      <c r="G329" s="1" t="s">
        <v>52</v>
      </c>
    </row>
    <row r="330" spans="1:7" x14ac:dyDescent="0.3">
      <c r="A330" s="1" t="s">
        <v>356</v>
      </c>
      <c r="B330" s="1" t="s">
        <v>21</v>
      </c>
      <c r="C330" s="1" t="s">
        <v>257</v>
      </c>
      <c r="D330" s="1" t="s">
        <v>383</v>
      </c>
      <c r="E330" s="1" t="s">
        <v>69</v>
      </c>
      <c r="G330" s="1" t="s">
        <v>69</v>
      </c>
    </row>
    <row r="331" spans="1:7" x14ac:dyDescent="0.3">
      <c r="A331" s="1" t="s">
        <v>716</v>
      </c>
      <c r="B331" s="1" t="s">
        <v>21</v>
      </c>
      <c r="C331" s="1" t="s">
        <v>427</v>
      </c>
      <c r="D331" s="1" t="s">
        <v>428</v>
      </c>
      <c r="E331" s="1" t="s">
        <v>58</v>
      </c>
      <c r="F331">
        <v>3000</v>
      </c>
      <c r="G331" s="1" t="s">
        <v>52</v>
      </c>
    </row>
    <row r="332" spans="1:7" x14ac:dyDescent="0.3">
      <c r="A332" s="1" t="s">
        <v>717</v>
      </c>
      <c r="B332" s="1" t="s">
        <v>13</v>
      </c>
      <c r="C332" s="1" t="s">
        <v>401</v>
      </c>
      <c r="D332" s="1" t="s">
        <v>402</v>
      </c>
      <c r="E332" s="1" t="s">
        <v>51</v>
      </c>
      <c r="F332">
        <v>3000</v>
      </c>
      <c r="G332" s="1" t="s">
        <v>52</v>
      </c>
    </row>
    <row r="333" spans="1:7" x14ac:dyDescent="0.3">
      <c r="A333" s="1" t="s">
        <v>718</v>
      </c>
      <c r="B333" s="1" t="s">
        <v>14</v>
      </c>
      <c r="C333" s="1" t="s">
        <v>428</v>
      </c>
      <c r="D333" s="1" t="s">
        <v>431</v>
      </c>
      <c r="E333" s="1" t="s">
        <v>51</v>
      </c>
      <c r="F333">
        <v>3000</v>
      </c>
      <c r="G333" s="1" t="s">
        <v>69</v>
      </c>
    </row>
    <row r="334" spans="1:7" x14ac:dyDescent="0.3">
      <c r="A334" s="1" t="s">
        <v>719</v>
      </c>
      <c r="B334" s="1" t="s">
        <v>14</v>
      </c>
      <c r="C334" s="1" t="s">
        <v>389</v>
      </c>
      <c r="D334" s="1" t="s">
        <v>405</v>
      </c>
      <c r="E334" s="1" t="s">
        <v>51</v>
      </c>
      <c r="G334" s="1" t="s">
        <v>52</v>
      </c>
    </row>
    <row r="335" spans="1:7" x14ac:dyDescent="0.3">
      <c r="A335" s="1" t="s">
        <v>720</v>
      </c>
      <c r="B335" s="1" t="s">
        <v>21</v>
      </c>
      <c r="C335" s="1" t="s">
        <v>397</v>
      </c>
      <c r="D335" s="1" t="s">
        <v>422</v>
      </c>
      <c r="E335" s="1" t="s">
        <v>74</v>
      </c>
      <c r="G335" s="1" t="s">
        <v>52</v>
      </c>
    </row>
    <row r="336" spans="1:7" x14ac:dyDescent="0.3">
      <c r="A336" s="1" t="s">
        <v>721</v>
      </c>
      <c r="B336" s="1" t="s">
        <v>18</v>
      </c>
      <c r="C336" s="1" t="s">
        <v>388</v>
      </c>
      <c r="D336" s="1" t="s">
        <v>389</v>
      </c>
      <c r="E336" s="1" t="s">
        <v>72</v>
      </c>
      <c r="F336">
        <v>3300</v>
      </c>
      <c r="G336" s="1" t="s">
        <v>52</v>
      </c>
    </row>
    <row r="337" spans="1:7" x14ac:dyDescent="0.3">
      <c r="A337" s="1" t="s">
        <v>357</v>
      </c>
      <c r="B337" s="1" t="s">
        <v>14</v>
      </c>
      <c r="C337" s="1" t="s">
        <v>251</v>
      </c>
      <c r="D337" s="1" t="s">
        <v>398</v>
      </c>
      <c r="E337" s="1" t="s">
        <v>102</v>
      </c>
      <c r="F337">
        <v>3000</v>
      </c>
      <c r="G337" s="1" t="s">
        <v>52</v>
      </c>
    </row>
    <row r="338" spans="1:7" x14ac:dyDescent="0.3">
      <c r="A338" s="1" t="s">
        <v>358</v>
      </c>
      <c r="B338" s="1" t="s">
        <v>16</v>
      </c>
      <c r="C338" s="1" t="s">
        <v>251</v>
      </c>
      <c r="D338" s="1" t="s">
        <v>398</v>
      </c>
      <c r="E338" s="1" t="s">
        <v>51</v>
      </c>
      <c r="F338">
        <v>3000</v>
      </c>
      <c r="G338" s="1" t="s">
        <v>52</v>
      </c>
    </row>
    <row r="339" spans="1:7" x14ac:dyDescent="0.3">
      <c r="A339" s="1" t="s">
        <v>722</v>
      </c>
      <c r="B339" s="1" t="s">
        <v>21</v>
      </c>
      <c r="C339" s="1" t="s">
        <v>410</v>
      </c>
      <c r="D339" s="1" t="s">
        <v>411</v>
      </c>
      <c r="E339" s="1" t="s">
        <v>232</v>
      </c>
      <c r="G339" s="1" t="s">
        <v>70</v>
      </c>
    </row>
    <row r="340" spans="1:7" x14ac:dyDescent="0.3">
      <c r="A340" s="1" t="s">
        <v>723</v>
      </c>
      <c r="B340" s="1" t="s">
        <v>13</v>
      </c>
      <c r="C340" s="1" t="s">
        <v>408</v>
      </c>
      <c r="D340" s="1" t="s">
        <v>401</v>
      </c>
      <c r="E340" s="1" t="s">
        <v>51</v>
      </c>
      <c r="F340">
        <v>3000</v>
      </c>
      <c r="G340" s="1" t="s">
        <v>52</v>
      </c>
    </row>
    <row r="341" spans="1:7" x14ac:dyDescent="0.3">
      <c r="A341" s="1" t="s">
        <v>724</v>
      </c>
      <c r="B341" s="1" t="s">
        <v>21</v>
      </c>
      <c r="C341" s="1" t="s">
        <v>388</v>
      </c>
      <c r="D341" s="1" t="s">
        <v>389</v>
      </c>
      <c r="E341" s="1" t="s">
        <v>73</v>
      </c>
      <c r="F341">
        <v>7000</v>
      </c>
      <c r="G341" s="1" t="s">
        <v>70</v>
      </c>
    </row>
    <row r="342" spans="1:7" x14ac:dyDescent="0.3">
      <c r="A342" s="1" t="s">
        <v>725</v>
      </c>
      <c r="B342" s="1" t="s">
        <v>13</v>
      </c>
      <c r="C342" s="1" t="s">
        <v>381</v>
      </c>
      <c r="D342" s="1" t="s">
        <v>382</v>
      </c>
      <c r="E342" s="1" t="s">
        <v>75</v>
      </c>
      <c r="F342">
        <v>5400</v>
      </c>
      <c r="G342" s="1" t="s">
        <v>212</v>
      </c>
    </row>
    <row r="343" spans="1:7" x14ac:dyDescent="0.3">
      <c r="A343" s="1" t="s">
        <v>726</v>
      </c>
      <c r="B343" s="1" t="s">
        <v>18</v>
      </c>
      <c r="C343" s="1" t="s">
        <v>427</v>
      </c>
      <c r="D343" s="1" t="s">
        <v>428</v>
      </c>
      <c r="E343" s="1" t="s">
        <v>72</v>
      </c>
      <c r="F343">
        <v>3000</v>
      </c>
      <c r="G343" s="1" t="s">
        <v>52</v>
      </c>
    </row>
    <row r="344" spans="1:7" x14ac:dyDescent="0.3">
      <c r="A344" s="1" t="s">
        <v>727</v>
      </c>
      <c r="B344" s="1" t="s">
        <v>16</v>
      </c>
      <c r="C344" s="1" t="s">
        <v>410</v>
      </c>
      <c r="D344" s="1" t="s">
        <v>411</v>
      </c>
      <c r="E344" s="1" t="s">
        <v>51</v>
      </c>
      <c r="G344" s="1" t="s">
        <v>52</v>
      </c>
    </row>
    <row r="345" spans="1:7" x14ac:dyDescent="0.3">
      <c r="A345" s="1" t="s">
        <v>728</v>
      </c>
      <c r="B345" s="1" t="s">
        <v>16</v>
      </c>
      <c r="C345" s="1" t="s">
        <v>401</v>
      </c>
      <c r="D345" s="1" t="s">
        <v>402</v>
      </c>
      <c r="E345" s="1" t="s">
        <v>51</v>
      </c>
      <c r="F345">
        <v>3000</v>
      </c>
      <c r="G345" s="1" t="s">
        <v>52</v>
      </c>
    </row>
    <row r="346" spans="1:7" x14ac:dyDescent="0.3">
      <c r="A346" s="1" t="s">
        <v>729</v>
      </c>
      <c r="B346" s="1" t="s">
        <v>18</v>
      </c>
      <c r="C346" s="1" t="s">
        <v>382</v>
      </c>
      <c r="D346" s="1" t="s">
        <v>414</v>
      </c>
      <c r="E346" s="1" t="s">
        <v>51</v>
      </c>
      <c r="F346">
        <v>3000</v>
      </c>
      <c r="G346" s="1" t="s">
        <v>52</v>
      </c>
    </row>
    <row r="347" spans="1:7" x14ac:dyDescent="0.3">
      <c r="A347" s="1" t="s">
        <v>730</v>
      </c>
      <c r="B347" s="1" t="s">
        <v>13</v>
      </c>
      <c r="C347" s="1" t="s">
        <v>410</v>
      </c>
      <c r="D347" s="1" t="s">
        <v>411</v>
      </c>
      <c r="E347" s="1" t="s">
        <v>78</v>
      </c>
      <c r="G347" s="1" t="s">
        <v>52</v>
      </c>
    </row>
    <row r="348" spans="1:7" x14ac:dyDescent="0.3">
      <c r="A348" s="1" t="s">
        <v>731</v>
      </c>
      <c r="B348" s="1" t="s">
        <v>13</v>
      </c>
      <c r="C348" s="1" t="s">
        <v>389</v>
      </c>
      <c r="D348" s="1" t="s">
        <v>405</v>
      </c>
      <c r="E348" s="1" t="s">
        <v>51</v>
      </c>
      <c r="G348" s="1" t="s">
        <v>52</v>
      </c>
    </row>
    <row r="349" spans="1:7" x14ac:dyDescent="0.3">
      <c r="A349" s="1" t="s">
        <v>732</v>
      </c>
      <c r="B349" s="1" t="s">
        <v>18</v>
      </c>
      <c r="C349" s="1" t="s">
        <v>383</v>
      </c>
      <c r="D349" s="1" t="s">
        <v>305</v>
      </c>
      <c r="E349" s="1" t="s">
        <v>100</v>
      </c>
      <c r="G349" s="1" t="s">
        <v>54</v>
      </c>
    </row>
    <row r="350" spans="1:7" x14ac:dyDescent="0.3">
      <c r="A350" s="1" t="s">
        <v>733</v>
      </c>
      <c r="B350" s="1" t="s">
        <v>14</v>
      </c>
      <c r="C350" s="1" t="s">
        <v>424</v>
      </c>
      <c r="D350" s="1" t="s">
        <v>410</v>
      </c>
      <c r="E350" s="1" t="s">
        <v>69</v>
      </c>
      <c r="G350" s="1" t="s">
        <v>69</v>
      </c>
    </row>
    <row r="351" spans="1:7" x14ac:dyDescent="0.3">
      <c r="A351" s="1" t="s">
        <v>734</v>
      </c>
      <c r="B351" s="1" t="s">
        <v>18</v>
      </c>
      <c r="C351" s="1" t="s">
        <v>397</v>
      </c>
      <c r="D351" s="1" t="s">
        <v>422</v>
      </c>
      <c r="E351" s="1" t="s">
        <v>51</v>
      </c>
      <c r="G351" s="1" t="s">
        <v>52</v>
      </c>
    </row>
    <row r="352" spans="1:7" x14ac:dyDescent="0.3">
      <c r="A352" s="1" t="s">
        <v>735</v>
      </c>
      <c r="B352" s="1" t="s">
        <v>18</v>
      </c>
      <c r="C352" s="1" t="s">
        <v>408</v>
      </c>
      <c r="D352" s="1" t="s">
        <v>401</v>
      </c>
      <c r="E352" s="1" t="s">
        <v>51</v>
      </c>
      <c r="F352">
        <v>3000</v>
      </c>
      <c r="G352" s="1" t="s">
        <v>52</v>
      </c>
    </row>
    <row r="353" spans="1:7" x14ac:dyDescent="0.3">
      <c r="A353" s="1" t="s">
        <v>359</v>
      </c>
      <c r="B353" s="1" t="s">
        <v>13</v>
      </c>
      <c r="C353" s="1" t="s">
        <v>251</v>
      </c>
      <c r="D353" s="1" t="s">
        <v>398</v>
      </c>
      <c r="E353" s="1" t="s">
        <v>60</v>
      </c>
      <c r="F353">
        <v>8800</v>
      </c>
      <c r="G353" s="1" t="s">
        <v>360</v>
      </c>
    </row>
    <row r="354" spans="1:7" x14ac:dyDescent="0.3">
      <c r="A354" s="1" t="s">
        <v>736</v>
      </c>
      <c r="B354" s="1" t="s">
        <v>18</v>
      </c>
      <c r="C354" s="1" t="s">
        <v>410</v>
      </c>
      <c r="D354" s="1" t="s">
        <v>411</v>
      </c>
      <c r="E354" s="1" t="s">
        <v>53</v>
      </c>
      <c r="G354" s="1" t="s">
        <v>83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EE99-F325-4B47-A3FF-8416EE629B38}">
  <sheetPr codeName="Sheet3"/>
  <dimension ref="A1:H218"/>
  <sheetViews>
    <sheetView workbookViewId="0">
      <selection activeCell="A2" sqref="A2"/>
    </sheetView>
  </sheetViews>
  <sheetFormatPr defaultRowHeight="14.4" x14ac:dyDescent="0.3"/>
  <cols>
    <col min="1" max="1" width="23.21875" bestFit="1" customWidth="1"/>
    <col min="2" max="2" width="7.88671875" bestFit="1" customWidth="1"/>
    <col min="3" max="3" width="24.5546875" bestFit="1" customWidth="1"/>
    <col min="4" max="4" width="25.5546875" bestFit="1" customWidth="1"/>
    <col min="5" max="5" width="24.77734375" bestFit="1" customWidth="1"/>
    <col min="6" max="6" width="26.44140625" bestFit="1" customWidth="1"/>
    <col min="7" max="7" width="27.44140625" bestFit="1" customWidth="1"/>
    <col min="8" max="8" width="26.6640625" bestFit="1" customWidth="1"/>
  </cols>
  <sheetData>
    <row r="1" spans="1:8" x14ac:dyDescent="0.3">
      <c r="A1" t="s">
        <v>105</v>
      </c>
      <c r="B1" t="s">
        <v>1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</row>
    <row r="2" spans="1:8" x14ac:dyDescent="0.3">
      <c r="A2" s="1" t="s">
        <v>403</v>
      </c>
      <c r="B2" s="1" t="s">
        <v>381</v>
      </c>
      <c r="C2">
        <v>1.7305999999999999</v>
      </c>
      <c r="D2">
        <v>1.4916</v>
      </c>
      <c r="E2">
        <v>1.3381000000000001</v>
      </c>
      <c r="F2">
        <v>1.7496</v>
      </c>
      <c r="G2">
        <v>1.4726999999999999</v>
      </c>
      <c r="H2">
        <v>1.341</v>
      </c>
    </row>
    <row r="3" spans="1:8" x14ac:dyDescent="0.3">
      <c r="A3" s="1" t="s">
        <v>614</v>
      </c>
      <c r="B3" s="1" t="s">
        <v>389</v>
      </c>
      <c r="C3">
        <v>1.7248000000000001</v>
      </c>
      <c r="D3">
        <v>1.7181</v>
      </c>
      <c r="E3">
        <v>1.4077</v>
      </c>
      <c r="F3">
        <v>1.7257</v>
      </c>
      <c r="G3">
        <v>1.7446999999999999</v>
      </c>
      <c r="H3">
        <v>1.4730000000000001</v>
      </c>
    </row>
    <row r="4" spans="1:8" x14ac:dyDescent="0.3">
      <c r="A4" s="1" t="s">
        <v>566</v>
      </c>
      <c r="B4" s="1" t="s">
        <v>381</v>
      </c>
      <c r="C4">
        <v>1.6519999999999999</v>
      </c>
      <c r="D4">
        <v>1.6607000000000001</v>
      </c>
      <c r="E4">
        <v>1.5539000000000001</v>
      </c>
      <c r="F4">
        <v>1.8432999999999999</v>
      </c>
      <c r="G4">
        <v>1.7647999999999999</v>
      </c>
      <c r="H4">
        <v>1.5964</v>
      </c>
    </row>
    <row r="5" spans="1:8" x14ac:dyDescent="0.3">
      <c r="A5" s="1" t="s">
        <v>355</v>
      </c>
      <c r="B5" s="1" t="s">
        <v>251</v>
      </c>
      <c r="C5">
        <v>1.4892000000000001</v>
      </c>
      <c r="D5">
        <v>1.3161</v>
      </c>
      <c r="E5">
        <v>1.0447</v>
      </c>
      <c r="F5">
        <v>1.37</v>
      </c>
      <c r="G5">
        <v>1.2569999999999999</v>
      </c>
      <c r="H5">
        <v>1.0250999999999999</v>
      </c>
    </row>
    <row r="6" spans="1:8" x14ac:dyDescent="0.3">
      <c r="A6" s="1" t="s">
        <v>620</v>
      </c>
      <c r="B6" s="1" t="s">
        <v>397</v>
      </c>
      <c r="C6">
        <v>1.4804999999999999</v>
      </c>
      <c r="D6">
        <v>1.4084000000000001</v>
      </c>
      <c r="E6">
        <v>1.4537</v>
      </c>
      <c r="F6">
        <v>1.5755999999999999</v>
      </c>
      <c r="G6">
        <v>1.5430999999999999</v>
      </c>
      <c r="H6">
        <v>1.5575000000000001</v>
      </c>
    </row>
    <row r="7" spans="1:8" x14ac:dyDescent="0.3">
      <c r="A7" s="1" t="s">
        <v>479</v>
      </c>
      <c r="B7" s="1" t="s">
        <v>737</v>
      </c>
      <c r="C7">
        <v>1.4771000000000001</v>
      </c>
      <c r="D7">
        <v>1.4626999999999999</v>
      </c>
      <c r="E7">
        <v>1.1952</v>
      </c>
      <c r="F7">
        <v>1.4692000000000001</v>
      </c>
      <c r="G7">
        <v>1.492</v>
      </c>
      <c r="H7">
        <v>1.2188000000000001</v>
      </c>
    </row>
    <row r="8" spans="1:8" x14ac:dyDescent="0.3">
      <c r="A8" s="1" t="s">
        <v>713</v>
      </c>
      <c r="B8" s="1" t="s">
        <v>424</v>
      </c>
      <c r="C8">
        <v>1.4334</v>
      </c>
      <c r="D8">
        <v>1.4265000000000001</v>
      </c>
      <c r="E8">
        <v>1.2869999999999999</v>
      </c>
      <c r="F8">
        <v>1.56</v>
      </c>
      <c r="G8">
        <v>1.5259</v>
      </c>
      <c r="H8">
        <v>1.3766</v>
      </c>
    </row>
    <row r="9" spans="1:8" x14ac:dyDescent="0.3">
      <c r="A9" s="1" t="s">
        <v>594</v>
      </c>
      <c r="B9" s="1" t="s">
        <v>738</v>
      </c>
      <c r="C9">
        <v>1.4107000000000001</v>
      </c>
      <c r="D9">
        <v>1.4075</v>
      </c>
      <c r="E9">
        <v>1.3735999999999999</v>
      </c>
      <c r="F9">
        <v>1.3937999999999999</v>
      </c>
      <c r="G9">
        <v>1.4450000000000001</v>
      </c>
      <c r="H9">
        <v>1.4225000000000001</v>
      </c>
    </row>
    <row r="10" spans="1:8" x14ac:dyDescent="0.3">
      <c r="A10" s="1" t="s">
        <v>488</v>
      </c>
      <c r="B10" s="1" t="s">
        <v>737</v>
      </c>
      <c r="C10">
        <v>1.3939999999999999</v>
      </c>
      <c r="D10">
        <v>1.2346999999999999</v>
      </c>
      <c r="E10">
        <v>1.1837</v>
      </c>
      <c r="F10">
        <v>1.2491000000000001</v>
      </c>
      <c r="G10">
        <v>1.1284000000000001</v>
      </c>
      <c r="H10">
        <v>1.0984</v>
      </c>
    </row>
    <row r="11" spans="1:8" x14ac:dyDescent="0.3">
      <c r="A11" s="1" t="s">
        <v>549</v>
      </c>
      <c r="B11" s="1" t="s">
        <v>428</v>
      </c>
      <c r="C11">
        <v>1.2764</v>
      </c>
      <c r="D11">
        <v>1.2063999999999999</v>
      </c>
      <c r="E11">
        <v>1.1041000000000001</v>
      </c>
      <c r="F11">
        <v>1.2577</v>
      </c>
      <c r="G11">
        <v>1.1749000000000001</v>
      </c>
      <c r="H11">
        <v>1.1041000000000001</v>
      </c>
    </row>
    <row r="12" spans="1:8" x14ac:dyDescent="0.3">
      <c r="A12" s="1" t="s">
        <v>551</v>
      </c>
      <c r="B12" s="1" t="s">
        <v>385</v>
      </c>
      <c r="C12">
        <v>1.2698</v>
      </c>
      <c r="D12">
        <v>1.19</v>
      </c>
      <c r="E12">
        <v>1.1303000000000001</v>
      </c>
      <c r="F12">
        <v>1.3625</v>
      </c>
      <c r="G12">
        <v>1.2736000000000001</v>
      </c>
      <c r="H12">
        <v>1.1789000000000001</v>
      </c>
    </row>
    <row r="13" spans="1:8" x14ac:dyDescent="0.3">
      <c r="A13" s="1" t="s">
        <v>490</v>
      </c>
      <c r="B13" s="1" t="s">
        <v>392</v>
      </c>
      <c r="C13">
        <v>1.2662</v>
      </c>
      <c r="D13">
        <v>1.224</v>
      </c>
      <c r="E13">
        <v>1.2592000000000001</v>
      </c>
      <c r="F13">
        <v>1.3775999999999999</v>
      </c>
      <c r="G13">
        <v>1.3055000000000001</v>
      </c>
      <c r="H13">
        <v>1.331</v>
      </c>
    </row>
    <row r="14" spans="1:8" x14ac:dyDescent="0.3">
      <c r="A14" s="1" t="s">
        <v>444</v>
      </c>
      <c r="B14" s="1" t="s">
        <v>392</v>
      </c>
      <c r="C14">
        <v>1.2546999999999999</v>
      </c>
      <c r="D14">
        <v>1.1561999999999999</v>
      </c>
      <c r="E14">
        <v>1.1158999999999999</v>
      </c>
      <c r="F14">
        <v>1.2819</v>
      </c>
      <c r="G14">
        <v>1.1751</v>
      </c>
      <c r="H14">
        <v>1.1265000000000001</v>
      </c>
    </row>
    <row r="15" spans="1:8" x14ac:dyDescent="0.3">
      <c r="A15" s="1" t="s">
        <v>348</v>
      </c>
      <c r="B15" s="1" t="s">
        <v>251</v>
      </c>
      <c r="C15">
        <v>1.2477</v>
      </c>
      <c r="D15">
        <v>1.3568</v>
      </c>
      <c r="E15">
        <v>1.3240000000000001</v>
      </c>
      <c r="F15">
        <v>1.2618</v>
      </c>
      <c r="G15">
        <v>1.3735999999999999</v>
      </c>
      <c r="H15">
        <v>1.3789</v>
      </c>
    </row>
    <row r="16" spans="1:8" x14ac:dyDescent="0.3">
      <c r="A16" s="1" t="s">
        <v>498</v>
      </c>
      <c r="B16" s="1" t="s">
        <v>389</v>
      </c>
      <c r="C16">
        <v>1.2354000000000001</v>
      </c>
      <c r="D16">
        <v>1.0933999999999999</v>
      </c>
      <c r="E16">
        <v>1.1621999999999999</v>
      </c>
      <c r="F16">
        <v>1.2575000000000001</v>
      </c>
      <c r="G16">
        <v>1.0678000000000001</v>
      </c>
      <c r="H16">
        <v>1.1609</v>
      </c>
    </row>
    <row r="17" spans="1:8" x14ac:dyDescent="0.3">
      <c r="A17" s="1" t="s">
        <v>676</v>
      </c>
      <c r="B17" s="1" t="s">
        <v>385</v>
      </c>
      <c r="C17">
        <v>1.2185999999999999</v>
      </c>
      <c r="D17">
        <v>1.2578</v>
      </c>
      <c r="E17">
        <v>1.2204999999999999</v>
      </c>
      <c r="F17">
        <v>1.1106</v>
      </c>
      <c r="G17">
        <v>1.1874</v>
      </c>
      <c r="H17">
        <v>1.1496999999999999</v>
      </c>
    </row>
    <row r="18" spans="1:8" x14ac:dyDescent="0.3">
      <c r="A18" s="1" t="s">
        <v>313</v>
      </c>
      <c r="B18" s="1" t="s">
        <v>257</v>
      </c>
      <c r="C18">
        <v>1.2176</v>
      </c>
      <c r="D18">
        <v>1.2434000000000001</v>
      </c>
      <c r="E18">
        <v>1.1919999999999999</v>
      </c>
      <c r="F18">
        <v>1.3207</v>
      </c>
      <c r="G18">
        <v>1.327</v>
      </c>
      <c r="H18">
        <v>1.2386999999999999</v>
      </c>
    </row>
    <row r="19" spans="1:8" x14ac:dyDescent="0.3">
      <c r="A19" s="1" t="s">
        <v>736</v>
      </c>
      <c r="B19" s="1" t="s">
        <v>410</v>
      </c>
      <c r="C19">
        <v>1.2171000000000001</v>
      </c>
      <c r="D19">
        <v>1.1912</v>
      </c>
      <c r="E19">
        <v>1.1335</v>
      </c>
      <c r="F19">
        <v>1.2318</v>
      </c>
      <c r="G19">
        <v>1.2070000000000001</v>
      </c>
      <c r="H19">
        <v>1.1352</v>
      </c>
    </row>
    <row r="20" spans="1:8" x14ac:dyDescent="0.3">
      <c r="A20" s="1" t="s">
        <v>343</v>
      </c>
      <c r="B20" s="1" t="s">
        <v>251</v>
      </c>
      <c r="C20">
        <v>1.21</v>
      </c>
      <c r="D20">
        <v>1.0727</v>
      </c>
      <c r="E20">
        <v>1.0003</v>
      </c>
      <c r="F20">
        <v>1.1849000000000001</v>
      </c>
      <c r="G20">
        <v>1.0713999999999999</v>
      </c>
      <c r="H20">
        <v>1.0248999999999999</v>
      </c>
    </row>
    <row r="21" spans="1:8" x14ac:dyDescent="0.3">
      <c r="A21" s="1" t="s">
        <v>461</v>
      </c>
      <c r="B21" s="1" t="s">
        <v>401</v>
      </c>
      <c r="C21">
        <v>1.19</v>
      </c>
      <c r="D21">
        <v>1.0327999999999999</v>
      </c>
      <c r="E21">
        <v>1.0327999999999999</v>
      </c>
      <c r="F21">
        <v>1.1998</v>
      </c>
      <c r="G21">
        <v>1.0253000000000001</v>
      </c>
      <c r="H21">
        <v>1.0253000000000001</v>
      </c>
    </row>
    <row r="22" spans="1:8" x14ac:dyDescent="0.3">
      <c r="A22" s="1" t="s">
        <v>536</v>
      </c>
      <c r="B22" s="1" t="s">
        <v>737</v>
      </c>
      <c r="C22">
        <v>1.1886000000000001</v>
      </c>
      <c r="D22">
        <v>1.1439999999999999</v>
      </c>
      <c r="E22">
        <v>1.0495000000000001</v>
      </c>
      <c r="F22">
        <v>1.1866000000000001</v>
      </c>
      <c r="G22">
        <v>1.1629</v>
      </c>
      <c r="H22">
        <v>1.0187999999999999</v>
      </c>
    </row>
    <row r="23" spans="1:8" x14ac:dyDescent="0.3">
      <c r="A23" s="1" t="s">
        <v>472</v>
      </c>
      <c r="B23" s="1" t="s">
        <v>738</v>
      </c>
      <c r="C23">
        <v>1.1848000000000001</v>
      </c>
      <c r="D23">
        <v>1.3137000000000001</v>
      </c>
      <c r="E23">
        <v>1.2376</v>
      </c>
      <c r="F23">
        <v>1.1733</v>
      </c>
      <c r="G23">
        <v>1.3071999999999999</v>
      </c>
      <c r="H23">
        <v>1.2372000000000001</v>
      </c>
    </row>
    <row r="24" spans="1:8" x14ac:dyDescent="0.3">
      <c r="A24" s="1" t="s">
        <v>647</v>
      </c>
      <c r="B24" s="1" t="s">
        <v>383</v>
      </c>
      <c r="C24">
        <v>1.1800999999999999</v>
      </c>
      <c r="D24">
        <v>1.0019</v>
      </c>
      <c r="E24">
        <v>0.92149999999999999</v>
      </c>
      <c r="F24">
        <v>1.1591</v>
      </c>
      <c r="G24">
        <v>1.0182</v>
      </c>
      <c r="H24">
        <v>0.93710000000000004</v>
      </c>
    </row>
    <row r="25" spans="1:8" x14ac:dyDescent="0.3">
      <c r="A25" s="1" t="s">
        <v>492</v>
      </c>
      <c r="B25" s="1" t="s">
        <v>427</v>
      </c>
      <c r="C25">
        <v>1.1765000000000001</v>
      </c>
      <c r="D25">
        <v>1.1987000000000001</v>
      </c>
      <c r="E25">
        <v>1.2306999999999999</v>
      </c>
      <c r="F25">
        <v>1.2141999999999999</v>
      </c>
      <c r="G25">
        <v>1.2497</v>
      </c>
      <c r="H25">
        <v>1.2885</v>
      </c>
    </row>
    <row r="26" spans="1:8" x14ac:dyDescent="0.3">
      <c r="A26" s="1" t="s">
        <v>324</v>
      </c>
      <c r="B26" s="1" t="s">
        <v>251</v>
      </c>
      <c r="C26">
        <v>1.1749000000000001</v>
      </c>
      <c r="D26">
        <v>1.1936</v>
      </c>
      <c r="E26">
        <v>1.1476</v>
      </c>
      <c r="F26">
        <v>1.2251000000000001</v>
      </c>
      <c r="G26">
        <v>1.2246999999999999</v>
      </c>
      <c r="H26">
        <v>1.1639999999999999</v>
      </c>
    </row>
    <row r="27" spans="1:8" x14ac:dyDescent="0.3">
      <c r="A27" s="1" t="s">
        <v>684</v>
      </c>
      <c r="B27" s="1" t="s">
        <v>389</v>
      </c>
      <c r="C27">
        <v>1.1655</v>
      </c>
      <c r="D27">
        <v>1.1919999999999999</v>
      </c>
      <c r="E27">
        <v>1.3522000000000001</v>
      </c>
      <c r="F27">
        <v>1.2241</v>
      </c>
      <c r="G27">
        <v>1.2972999999999999</v>
      </c>
      <c r="H27">
        <v>1.4702</v>
      </c>
    </row>
    <row r="28" spans="1:8" x14ac:dyDescent="0.3">
      <c r="A28" s="1" t="s">
        <v>544</v>
      </c>
      <c r="B28" s="1" t="s">
        <v>738</v>
      </c>
      <c r="C28">
        <v>1.1606000000000001</v>
      </c>
      <c r="D28">
        <v>1.3242</v>
      </c>
      <c r="E28">
        <v>1.3579000000000001</v>
      </c>
      <c r="F28">
        <v>1.2455000000000001</v>
      </c>
      <c r="G28">
        <v>1.4297</v>
      </c>
      <c r="H28">
        <v>1.4523999999999999</v>
      </c>
    </row>
    <row r="29" spans="1:8" x14ac:dyDescent="0.3">
      <c r="A29" s="1" t="s">
        <v>347</v>
      </c>
      <c r="B29" s="1" t="s">
        <v>257</v>
      </c>
      <c r="C29">
        <v>1.1592</v>
      </c>
      <c r="D29">
        <v>0.98550000000000004</v>
      </c>
      <c r="E29">
        <v>1.1187</v>
      </c>
      <c r="F29">
        <v>1.1492</v>
      </c>
      <c r="G29">
        <v>0.97409999999999997</v>
      </c>
      <c r="H29">
        <v>1.1100000000000001</v>
      </c>
    </row>
    <row r="30" spans="1:8" x14ac:dyDescent="0.3">
      <c r="A30" s="1" t="s">
        <v>486</v>
      </c>
      <c r="B30" s="1" t="s">
        <v>737</v>
      </c>
      <c r="C30">
        <v>1.1548</v>
      </c>
      <c r="D30">
        <v>1.1214999999999999</v>
      </c>
      <c r="E30">
        <v>0.99329999999999996</v>
      </c>
      <c r="F30">
        <v>1.1526000000000001</v>
      </c>
      <c r="G30">
        <v>1.1173</v>
      </c>
      <c r="H30">
        <v>0.99199999999999999</v>
      </c>
    </row>
    <row r="31" spans="1:8" x14ac:dyDescent="0.3">
      <c r="A31" s="1" t="s">
        <v>524</v>
      </c>
      <c r="B31" s="1" t="s">
        <v>427</v>
      </c>
      <c r="C31">
        <v>1.1506000000000001</v>
      </c>
      <c r="D31">
        <v>1.2504999999999999</v>
      </c>
      <c r="E31">
        <v>1.2765</v>
      </c>
      <c r="F31">
        <v>1.1298999999999999</v>
      </c>
      <c r="G31">
        <v>1.2155</v>
      </c>
      <c r="H31">
        <v>1.2436</v>
      </c>
    </row>
    <row r="32" spans="1:8" x14ac:dyDescent="0.3">
      <c r="A32" s="1" t="s">
        <v>341</v>
      </c>
      <c r="B32" s="1" t="s">
        <v>257</v>
      </c>
      <c r="C32">
        <v>1.1399999999999999</v>
      </c>
      <c r="D32">
        <v>1.1505000000000001</v>
      </c>
      <c r="E32">
        <v>0.88660000000000005</v>
      </c>
      <c r="F32">
        <v>1.3007</v>
      </c>
      <c r="G32">
        <v>1.2655000000000001</v>
      </c>
      <c r="H32">
        <v>0.93820000000000003</v>
      </c>
    </row>
    <row r="33" spans="1:8" x14ac:dyDescent="0.3">
      <c r="A33" s="1" t="s">
        <v>732</v>
      </c>
      <c r="B33" s="1" t="s">
        <v>383</v>
      </c>
      <c r="C33">
        <v>1.127</v>
      </c>
      <c r="D33">
        <v>1.1476999999999999</v>
      </c>
      <c r="E33">
        <v>1.0650999999999999</v>
      </c>
      <c r="F33">
        <v>1.198</v>
      </c>
      <c r="G33">
        <v>1.1984999999999999</v>
      </c>
      <c r="H33">
        <v>1.0903</v>
      </c>
    </row>
    <row r="34" spans="1:8" x14ac:dyDescent="0.3">
      <c r="A34" s="1" t="s">
        <v>739</v>
      </c>
      <c r="B34" s="1" t="s">
        <v>401</v>
      </c>
      <c r="C34">
        <v>1.1185</v>
      </c>
      <c r="D34">
        <v>1.1426000000000001</v>
      </c>
      <c r="E34">
        <v>1.1910000000000001</v>
      </c>
      <c r="F34">
        <v>1.1214</v>
      </c>
      <c r="G34">
        <v>1.1386000000000001</v>
      </c>
      <c r="H34">
        <v>1.1758999999999999</v>
      </c>
    </row>
    <row r="35" spans="1:8" x14ac:dyDescent="0.3">
      <c r="A35" s="1" t="s">
        <v>322</v>
      </c>
      <c r="B35" s="1" t="s">
        <v>257</v>
      </c>
      <c r="C35">
        <v>1.1147</v>
      </c>
      <c r="D35">
        <v>0.89929999999999999</v>
      </c>
      <c r="E35">
        <v>0.68840000000000001</v>
      </c>
      <c r="F35">
        <v>1.1934</v>
      </c>
      <c r="G35">
        <v>0.95269999999999999</v>
      </c>
      <c r="H35">
        <v>0.72799999999999998</v>
      </c>
    </row>
    <row r="36" spans="1:8" x14ac:dyDescent="0.3">
      <c r="A36" s="1" t="s">
        <v>643</v>
      </c>
      <c r="B36" s="1" t="s">
        <v>382</v>
      </c>
      <c r="C36">
        <v>1.1127</v>
      </c>
      <c r="D36">
        <v>1.1188</v>
      </c>
      <c r="E36">
        <v>0.9587</v>
      </c>
      <c r="F36">
        <v>1.1091</v>
      </c>
      <c r="G36">
        <v>1.1341000000000001</v>
      </c>
      <c r="H36">
        <v>0.98019999999999996</v>
      </c>
    </row>
    <row r="37" spans="1:8" x14ac:dyDescent="0.3">
      <c r="A37" s="1" t="s">
        <v>704</v>
      </c>
      <c r="B37" s="1" t="s">
        <v>382</v>
      </c>
      <c r="C37">
        <v>1.1124000000000001</v>
      </c>
      <c r="D37">
        <v>1.0945</v>
      </c>
      <c r="E37">
        <v>1.0058</v>
      </c>
      <c r="F37">
        <v>1.1475</v>
      </c>
      <c r="G37">
        <v>1.1419999999999999</v>
      </c>
      <c r="H37">
        <v>1.0367999999999999</v>
      </c>
    </row>
    <row r="38" spans="1:8" x14ac:dyDescent="0.3">
      <c r="A38" s="1" t="s">
        <v>554</v>
      </c>
      <c r="B38" s="1" t="s">
        <v>385</v>
      </c>
      <c r="C38">
        <v>1.1103000000000001</v>
      </c>
      <c r="D38">
        <v>1.1536</v>
      </c>
      <c r="E38">
        <v>1.226</v>
      </c>
      <c r="F38">
        <v>1.1548</v>
      </c>
      <c r="G38">
        <v>1.1915</v>
      </c>
      <c r="H38">
        <v>1.2766</v>
      </c>
    </row>
    <row r="39" spans="1:8" x14ac:dyDescent="0.3">
      <c r="A39" s="1" t="s">
        <v>610</v>
      </c>
      <c r="B39" s="1" t="s">
        <v>382</v>
      </c>
      <c r="C39">
        <v>1.1093999999999999</v>
      </c>
      <c r="D39">
        <v>1.2895000000000001</v>
      </c>
      <c r="E39">
        <v>1.2646999999999999</v>
      </c>
      <c r="F39">
        <v>1.1947000000000001</v>
      </c>
      <c r="G39">
        <v>1.3501000000000001</v>
      </c>
      <c r="H39">
        <v>1.3118000000000001</v>
      </c>
    </row>
    <row r="40" spans="1:8" x14ac:dyDescent="0.3">
      <c r="A40" s="1" t="s">
        <v>702</v>
      </c>
      <c r="B40" s="1" t="s">
        <v>388</v>
      </c>
      <c r="C40">
        <v>1.0898000000000001</v>
      </c>
      <c r="D40">
        <v>1.1463000000000001</v>
      </c>
      <c r="E40">
        <v>0.91100000000000003</v>
      </c>
      <c r="F40">
        <v>1.1096999999999999</v>
      </c>
      <c r="G40">
        <v>1.1793</v>
      </c>
      <c r="H40">
        <v>0.93600000000000005</v>
      </c>
    </row>
    <row r="41" spans="1:8" x14ac:dyDescent="0.3">
      <c r="A41" s="1" t="s">
        <v>606</v>
      </c>
      <c r="B41" s="1" t="s">
        <v>738</v>
      </c>
      <c r="C41">
        <v>1.0894999999999999</v>
      </c>
      <c r="D41">
        <v>1.075</v>
      </c>
      <c r="E41">
        <v>1.2613000000000001</v>
      </c>
      <c r="F41">
        <v>1.0824</v>
      </c>
      <c r="G41">
        <v>1.0899000000000001</v>
      </c>
      <c r="H41">
        <v>1.2870999999999999</v>
      </c>
    </row>
    <row r="42" spans="1:8" x14ac:dyDescent="0.3">
      <c r="A42" s="1" t="s">
        <v>611</v>
      </c>
      <c r="B42" s="1" t="s">
        <v>392</v>
      </c>
      <c r="C42">
        <v>1.0878000000000001</v>
      </c>
      <c r="D42">
        <v>0.9304</v>
      </c>
      <c r="E42">
        <v>0.90990000000000004</v>
      </c>
      <c r="F42">
        <v>1.1397999999999999</v>
      </c>
      <c r="G42">
        <v>0.97889999999999999</v>
      </c>
      <c r="H42">
        <v>0.95740000000000003</v>
      </c>
    </row>
    <row r="43" spans="1:8" x14ac:dyDescent="0.3">
      <c r="A43" s="1" t="s">
        <v>663</v>
      </c>
      <c r="B43" s="1" t="s">
        <v>382</v>
      </c>
      <c r="C43">
        <v>1.0783</v>
      </c>
      <c r="D43">
        <v>1.0459000000000001</v>
      </c>
      <c r="E43">
        <v>0.97070000000000001</v>
      </c>
      <c r="F43">
        <v>1.0931999999999999</v>
      </c>
      <c r="G43">
        <v>1.0495000000000001</v>
      </c>
      <c r="H43">
        <v>0.97430000000000005</v>
      </c>
    </row>
    <row r="44" spans="1:8" x14ac:dyDescent="0.3">
      <c r="A44" s="1" t="s">
        <v>399</v>
      </c>
      <c r="B44" s="1" t="s">
        <v>388</v>
      </c>
      <c r="C44">
        <v>1.0697000000000001</v>
      </c>
      <c r="D44">
        <v>0.97</v>
      </c>
      <c r="E44">
        <v>0.99150000000000005</v>
      </c>
      <c r="F44">
        <v>1.1215999999999999</v>
      </c>
      <c r="G44">
        <v>0.99409999999999998</v>
      </c>
      <c r="H44">
        <v>0.96789999999999998</v>
      </c>
    </row>
    <row r="45" spans="1:8" x14ac:dyDescent="0.3">
      <c r="A45" s="1" t="s">
        <v>703</v>
      </c>
      <c r="B45" s="1" t="s">
        <v>383</v>
      </c>
      <c r="C45">
        <v>1.0694999999999999</v>
      </c>
      <c r="D45">
        <v>1.0051000000000001</v>
      </c>
      <c r="E45">
        <v>0.84560000000000002</v>
      </c>
      <c r="F45">
        <v>1.097</v>
      </c>
      <c r="G45">
        <v>1.0308999999999999</v>
      </c>
      <c r="H45">
        <v>0.86660000000000004</v>
      </c>
    </row>
    <row r="46" spans="1:8" x14ac:dyDescent="0.3">
      <c r="A46" s="1" t="s">
        <v>458</v>
      </c>
      <c r="B46" s="1" t="s">
        <v>383</v>
      </c>
      <c r="C46">
        <v>1.0690999999999999</v>
      </c>
      <c r="D46">
        <v>0.99690000000000001</v>
      </c>
      <c r="E46">
        <v>0.99309999999999998</v>
      </c>
      <c r="F46">
        <v>1.0925</v>
      </c>
      <c r="G46">
        <v>1.0605</v>
      </c>
      <c r="H46">
        <v>1.0402</v>
      </c>
    </row>
    <row r="47" spans="1:8" x14ac:dyDescent="0.3">
      <c r="A47" s="1" t="s">
        <v>450</v>
      </c>
      <c r="B47" s="1" t="s">
        <v>388</v>
      </c>
      <c r="C47">
        <v>1.0653999999999999</v>
      </c>
      <c r="D47">
        <v>0.9486</v>
      </c>
      <c r="E47">
        <v>0.96389999999999998</v>
      </c>
      <c r="F47">
        <v>1.0681</v>
      </c>
      <c r="G47">
        <v>0.93920000000000003</v>
      </c>
      <c r="H47">
        <v>0.95679999999999998</v>
      </c>
    </row>
    <row r="48" spans="1:8" x14ac:dyDescent="0.3">
      <c r="A48" s="1" t="s">
        <v>599</v>
      </c>
      <c r="B48" s="1" t="s">
        <v>428</v>
      </c>
      <c r="C48">
        <v>1.0526</v>
      </c>
      <c r="D48">
        <v>1.3126</v>
      </c>
      <c r="E48">
        <v>1.1414</v>
      </c>
      <c r="F48">
        <v>1.1344000000000001</v>
      </c>
      <c r="G48">
        <v>1.4241999999999999</v>
      </c>
      <c r="H48">
        <v>1.2258</v>
      </c>
    </row>
    <row r="49" spans="1:8" x14ac:dyDescent="0.3">
      <c r="A49" s="1" t="s">
        <v>353</v>
      </c>
      <c r="B49" s="1" t="s">
        <v>257</v>
      </c>
      <c r="C49">
        <v>1.0459000000000001</v>
      </c>
      <c r="D49">
        <v>0.97109999999999996</v>
      </c>
      <c r="E49">
        <v>0.9284</v>
      </c>
      <c r="F49">
        <v>1.0859000000000001</v>
      </c>
      <c r="G49">
        <v>1.0087999999999999</v>
      </c>
      <c r="H49">
        <v>0.97419999999999995</v>
      </c>
    </row>
    <row r="50" spans="1:8" x14ac:dyDescent="0.3">
      <c r="A50" s="1" t="s">
        <v>521</v>
      </c>
      <c r="B50" s="1" t="s">
        <v>424</v>
      </c>
      <c r="C50">
        <v>1.0375000000000001</v>
      </c>
      <c r="D50">
        <v>1.0613999999999999</v>
      </c>
      <c r="E50">
        <v>1.0530999999999999</v>
      </c>
      <c r="F50">
        <v>1.0732999999999999</v>
      </c>
      <c r="G50">
        <v>1.0922000000000001</v>
      </c>
      <c r="H50">
        <v>1.0535000000000001</v>
      </c>
    </row>
    <row r="51" spans="1:8" x14ac:dyDescent="0.3">
      <c r="A51" s="1" t="s">
        <v>470</v>
      </c>
      <c r="B51" s="1" t="s">
        <v>401</v>
      </c>
      <c r="C51">
        <v>1.0353000000000001</v>
      </c>
      <c r="D51">
        <v>1.0265</v>
      </c>
      <c r="E51">
        <v>0.92769999999999997</v>
      </c>
      <c r="F51">
        <v>1.0727</v>
      </c>
      <c r="G51">
        <v>1.0042</v>
      </c>
      <c r="H51">
        <v>0.89329999999999998</v>
      </c>
    </row>
    <row r="52" spans="1:8" x14ac:dyDescent="0.3">
      <c r="A52" s="1" t="s">
        <v>656</v>
      </c>
      <c r="B52" s="1" t="s">
        <v>738</v>
      </c>
      <c r="C52">
        <v>1.0290999999999999</v>
      </c>
      <c r="D52">
        <v>1.0987</v>
      </c>
      <c r="E52">
        <v>1.0183</v>
      </c>
      <c r="F52">
        <v>0.99529999999999996</v>
      </c>
      <c r="G52">
        <v>1.0375000000000001</v>
      </c>
      <c r="H52">
        <v>0.95220000000000005</v>
      </c>
    </row>
    <row r="53" spans="1:8" x14ac:dyDescent="0.3">
      <c r="A53" s="1" t="s">
        <v>642</v>
      </c>
      <c r="B53" s="1" t="s">
        <v>427</v>
      </c>
      <c r="C53">
        <v>1.0219</v>
      </c>
      <c r="D53">
        <v>1.0571999999999999</v>
      </c>
      <c r="E53">
        <v>1.0489999999999999</v>
      </c>
      <c r="F53">
        <v>1.0576000000000001</v>
      </c>
      <c r="G53">
        <v>1.0758000000000001</v>
      </c>
      <c r="H53">
        <v>1.0871999999999999</v>
      </c>
    </row>
    <row r="54" spans="1:8" x14ac:dyDescent="0.3">
      <c r="A54" s="1" t="s">
        <v>473</v>
      </c>
      <c r="B54" s="1" t="s">
        <v>388</v>
      </c>
      <c r="C54">
        <v>1.0193000000000001</v>
      </c>
      <c r="D54">
        <v>0.94630000000000003</v>
      </c>
      <c r="E54">
        <v>1.1442000000000001</v>
      </c>
      <c r="F54">
        <v>1.0424</v>
      </c>
      <c r="G54">
        <v>0.96350000000000002</v>
      </c>
      <c r="H54">
        <v>1.1633</v>
      </c>
    </row>
    <row r="55" spans="1:8" x14ac:dyDescent="0.3">
      <c r="A55" s="1" t="s">
        <v>579</v>
      </c>
      <c r="B55" s="1" t="s">
        <v>740</v>
      </c>
      <c r="C55">
        <v>1.0105</v>
      </c>
      <c r="D55">
        <v>1.0145</v>
      </c>
      <c r="E55">
        <v>1.1639999999999999</v>
      </c>
      <c r="F55">
        <v>1.0611999999999999</v>
      </c>
      <c r="G55">
        <v>1.0871</v>
      </c>
      <c r="H55">
        <v>1.2475000000000001</v>
      </c>
    </row>
    <row r="56" spans="1:8" x14ac:dyDescent="0.3">
      <c r="A56" s="1" t="s">
        <v>468</v>
      </c>
      <c r="B56" s="1" t="s">
        <v>428</v>
      </c>
      <c r="C56">
        <v>1.0071000000000001</v>
      </c>
      <c r="D56">
        <v>1.0674999999999999</v>
      </c>
      <c r="E56">
        <v>0.94969999999999999</v>
      </c>
      <c r="F56">
        <v>1.0880000000000001</v>
      </c>
      <c r="G56">
        <v>1.1193</v>
      </c>
      <c r="H56">
        <v>1.0036</v>
      </c>
    </row>
    <row r="57" spans="1:8" x14ac:dyDescent="0.3">
      <c r="A57" s="1" t="s">
        <v>724</v>
      </c>
      <c r="B57" s="1" t="s">
        <v>388</v>
      </c>
      <c r="C57">
        <v>1.0069999999999999</v>
      </c>
      <c r="D57">
        <v>1.0536000000000001</v>
      </c>
      <c r="E57">
        <v>0.96519999999999995</v>
      </c>
      <c r="F57">
        <v>1.0203</v>
      </c>
      <c r="G57">
        <v>1.0874999999999999</v>
      </c>
      <c r="H57">
        <v>0.97440000000000004</v>
      </c>
    </row>
    <row r="58" spans="1:8" x14ac:dyDescent="0.3">
      <c r="A58" s="1" t="s">
        <v>625</v>
      </c>
      <c r="B58" s="1" t="s">
        <v>389</v>
      </c>
      <c r="C58">
        <v>1.0064</v>
      </c>
      <c r="D58">
        <v>0.92049999999999998</v>
      </c>
      <c r="E58">
        <v>0.83309999999999995</v>
      </c>
      <c r="F58">
        <v>1.0268999999999999</v>
      </c>
      <c r="G58">
        <v>0.93569999999999998</v>
      </c>
      <c r="H58">
        <v>0.87549999999999994</v>
      </c>
    </row>
    <row r="59" spans="1:8" x14ac:dyDescent="0.3">
      <c r="A59" s="1" t="s">
        <v>520</v>
      </c>
      <c r="B59" s="1" t="s">
        <v>382</v>
      </c>
      <c r="C59">
        <v>0.99139999999999995</v>
      </c>
      <c r="D59">
        <v>0.85089999999999999</v>
      </c>
      <c r="E59">
        <v>0.98329999999999995</v>
      </c>
      <c r="F59">
        <v>0.99139999999999995</v>
      </c>
      <c r="G59">
        <v>0.85699999999999998</v>
      </c>
      <c r="H59">
        <v>1.0051000000000001</v>
      </c>
    </row>
    <row r="60" spans="1:8" x14ac:dyDescent="0.3">
      <c r="A60" s="1" t="s">
        <v>674</v>
      </c>
      <c r="B60" s="1" t="s">
        <v>740</v>
      </c>
      <c r="C60">
        <v>0.99080000000000001</v>
      </c>
      <c r="D60">
        <v>0.96530000000000005</v>
      </c>
      <c r="E60">
        <v>0.86350000000000005</v>
      </c>
      <c r="F60">
        <v>1.0314000000000001</v>
      </c>
      <c r="G60">
        <v>0.99980000000000002</v>
      </c>
      <c r="H60">
        <v>0.8992</v>
      </c>
    </row>
    <row r="61" spans="1:8" x14ac:dyDescent="0.3">
      <c r="A61" s="1" t="s">
        <v>321</v>
      </c>
      <c r="B61" s="1" t="s">
        <v>257</v>
      </c>
      <c r="C61">
        <v>0.98770000000000002</v>
      </c>
      <c r="D61">
        <v>1.0399</v>
      </c>
      <c r="E61">
        <v>1.1649</v>
      </c>
      <c r="F61">
        <v>0.9758</v>
      </c>
      <c r="G61">
        <v>1.0196000000000001</v>
      </c>
      <c r="H61">
        <v>1.0978000000000001</v>
      </c>
    </row>
    <row r="62" spans="1:8" x14ac:dyDescent="0.3">
      <c r="A62" s="1" t="s">
        <v>454</v>
      </c>
      <c r="B62" s="1" t="s">
        <v>401</v>
      </c>
      <c r="C62">
        <v>0.98519999999999996</v>
      </c>
      <c r="D62">
        <v>1.0784</v>
      </c>
      <c r="E62">
        <v>1.1716</v>
      </c>
      <c r="F62">
        <v>1.1037999999999999</v>
      </c>
      <c r="G62">
        <v>1.1564000000000001</v>
      </c>
      <c r="H62">
        <v>1.2154</v>
      </c>
    </row>
    <row r="63" spans="1:8" x14ac:dyDescent="0.3">
      <c r="A63" s="1" t="s">
        <v>741</v>
      </c>
      <c r="B63" s="1" t="s">
        <v>738</v>
      </c>
      <c r="C63">
        <v>0.98199999999999998</v>
      </c>
      <c r="D63">
        <v>0.85229999999999995</v>
      </c>
      <c r="E63">
        <v>0.79169999999999996</v>
      </c>
      <c r="F63">
        <v>0.99690000000000001</v>
      </c>
      <c r="G63">
        <v>0.88219999999999998</v>
      </c>
      <c r="H63">
        <v>0.79900000000000004</v>
      </c>
    </row>
    <row r="64" spans="1:8" x14ac:dyDescent="0.3">
      <c r="A64" s="1" t="s">
        <v>651</v>
      </c>
      <c r="B64" s="1" t="s">
        <v>392</v>
      </c>
      <c r="C64">
        <v>0.98170000000000002</v>
      </c>
      <c r="D64">
        <v>1.0724</v>
      </c>
      <c r="E64">
        <v>1.0809</v>
      </c>
      <c r="F64">
        <v>0.89570000000000005</v>
      </c>
      <c r="G64">
        <v>1.012</v>
      </c>
      <c r="H64">
        <v>1.0206</v>
      </c>
    </row>
    <row r="65" spans="1:8" x14ac:dyDescent="0.3">
      <c r="A65" s="1" t="s">
        <v>632</v>
      </c>
      <c r="B65" s="1" t="s">
        <v>397</v>
      </c>
      <c r="C65">
        <v>0.98150000000000004</v>
      </c>
      <c r="D65">
        <v>1.0293000000000001</v>
      </c>
      <c r="E65">
        <v>1.0851</v>
      </c>
      <c r="F65">
        <v>1.0355000000000001</v>
      </c>
      <c r="G65">
        <v>1.0508</v>
      </c>
      <c r="H65">
        <v>1.1035999999999999</v>
      </c>
    </row>
    <row r="66" spans="1:8" x14ac:dyDescent="0.3">
      <c r="A66" s="1" t="s">
        <v>508</v>
      </c>
      <c r="B66" s="1" t="s">
        <v>740</v>
      </c>
      <c r="C66">
        <v>0.97850000000000004</v>
      </c>
      <c r="D66">
        <v>0.87350000000000005</v>
      </c>
      <c r="E66">
        <v>0.85370000000000001</v>
      </c>
      <c r="F66">
        <v>1.0343</v>
      </c>
      <c r="G66">
        <v>0.91610000000000003</v>
      </c>
      <c r="H66">
        <v>0.88429999999999997</v>
      </c>
    </row>
    <row r="67" spans="1:8" x14ac:dyDescent="0.3">
      <c r="A67" s="1" t="s">
        <v>435</v>
      </c>
      <c r="B67" s="1" t="s">
        <v>738</v>
      </c>
      <c r="C67">
        <v>0.97650000000000003</v>
      </c>
      <c r="D67">
        <v>0.93210000000000004</v>
      </c>
      <c r="E67">
        <v>0.88990000000000002</v>
      </c>
      <c r="F67">
        <v>0.91390000000000005</v>
      </c>
      <c r="G67">
        <v>0.89490000000000003</v>
      </c>
      <c r="H67">
        <v>0.86729999999999996</v>
      </c>
    </row>
    <row r="68" spans="1:8" x14ac:dyDescent="0.3">
      <c r="A68" s="1" t="s">
        <v>359</v>
      </c>
      <c r="B68" s="1" t="s">
        <v>251</v>
      </c>
      <c r="C68">
        <v>0.97319999999999995</v>
      </c>
      <c r="D68">
        <v>1.0802</v>
      </c>
      <c r="E68">
        <v>1.1389</v>
      </c>
      <c r="F68">
        <v>1.0442</v>
      </c>
      <c r="G68">
        <v>1.1559999999999999</v>
      </c>
      <c r="H68">
        <v>1.2079</v>
      </c>
    </row>
    <row r="69" spans="1:8" x14ac:dyDescent="0.3">
      <c r="A69" s="1" t="s">
        <v>709</v>
      </c>
      <c r="B69" s="1" t="s">
        <v>397</v>
      </c>
      <c r="C69">
        <v>0.97070000000000001</v>
      </c>
      <c r="D69">
        <v>0.98729999999999996</v>
      </c>
      <c r="E69">
        <v>0.82809999999999995</v>
      </c>
      <c r="F69">
        <v>0.98650000000000004</v>
      </c>
      <c r="G69">
        <v>1.0107999999999999</v>
      </c>
      <c r="H69">
        <v>0.87009999999999998</v>
      </c>
    </row>
    <row r="70" spans="1:8" x14ac:dyDescent="0.3">
      <c r="A70" s="1" t="s">
        <v>354</v>
      </c>
      <c r="B70" s="1" t="s">
        <v>257</v>
      </c>
      <c r="C70">
        <v>0.97050000000000003</v>
      </c>
      <c r="D70">
        <v>0.9526</v>
      </c>
      <c r="E70">
        <v>0.9526</v>
      </c>
      <c r="F70">
        <v>0.99360000000000004</v>
      </c>
      <c r="G70">
        <v>0.96179999999999999</v>
      </c>
      <c r="H70">
        <v>0.96179999999999999</v>
      </c>
    </row>
    <row r="71" spans="1:8" x14ac:dyDescent="0.3">
      <c r="A71" s="1" t="s">
        <v>438</v>
      </c>
      <c r="B71" s="1" t="s">
        <v>388</v>
      </c>
      <c r="C71">
        <v>0.97030000000000005</v>
      </c>
      <c r="D71">
        <v>0.81430000000000002</v>
      </c>
      <c r="E71">
        <v>0.86570000000000003</v>
      </c>
      <c r="F71">
        <v>0.98850000000000005</v>
      </c>
      <c r="G71">
        <v>0.85309999999999997</v>
      </c>
      <c r="H71">
        <v>0.91949999999999998</v>
      </c>
    </row>
    <row r="72" spans="1:8" x14ac:dyDescent="0.3">
      <c r="A72" s="1" t="s">
        <v>701</v>
      </c>
      <c r="B72" s="1" t="s">
        <v>389</v>
      </c>
      <c r="C72">
        <v>0.96830000000000005</v>
      </c>
      <c r="D72">
        <v>0.71660000000000001</v>
      </c>
      <c r="E72">
        <v>0.88039999999999996</v>
      </c>
      <c r="F72">
        <v>0.97809999999999997</v>
      </c>
      <c r="G72">
        <v>0.72989999999999999</v>
      </c>
      <c r="H72">
        <v>0.88360000000000005</v>
      </c>
    </row>
    <row r="73" spans="1:8" x14ac:dyDescent="0.3">
      <c r="A73" s="1" t="s">
        <v>646</v>
      </c>
      <c r="B73" s="1" t="s">
        <v>383</v>
      </c>
      <c r="C73">
        <v>0.96760000000000002</v>
      </c>
      <c r="D73">
        <v>1.012</v>
      </c>
      <c r="E73">
        <v>1.1501999999999999</v>
      </c>
      <c r="F73">
        <v>0.93879999999999997</v>
      </c>
      <c r="G73">
        <v>0.96609999999999996</v>
      </c>
      <c r="H73">
        <v>1.1267</v>
      </c>
    </row>
    <row r="74" spans="1:8" x14ac:dyDescent="0.3">
      <c r="A74" s="1" t="s">
        <v>605</v>
      </c>
      <c r="B74" s="1" t="s">
        <v>410</v>
      </c>
      <c r="C74">
        <v>0.95699999999999996</v>
      </c>
      <c r="D74">
        <v>0.97189999999999999</v>
      </c>
      <c r="E74">
        <v>0.99070000000000003</v>
      </c>
      <c r="F74">
        <v>1.0363</v>
      </c>
      <c r="G74">
        <v>1.0497000000000001</v>
      </c>
      <c r="H74">
        <v>1.0528999999999999</v>
      </c>
    </row>
    <row r="75" spans="1:8" x14ac:dyDescent="0.3">
      <c r="A75" s="1" t="s">
        <v>623</v>
      </c>
      <c r="B75" s="1" t="s">
        <v>392</v>
      </c>
      <c r="C75">
        <v>0.95289999999999997</v>
      </c>
      <c r="D75">
        <v>0.97819999999999996</v>
      </c>
      <c r="E75">
        <v>1.0821000000000001</v>
      </c>
      <c r="F75">
        <v>0.96950000000000003</v>
      </c>
      <c r="G75">
        <v>0.99380000000000002</v>
      </c>
      <c r="H75">
        <v>1.1265000000000001</v>
      </c>
    </row>
    <row r="76" spans="1:8" x14ac:dyDescent="0.3">
      <c r="A76" s="1" t="s">
        <v>573</v>
      </c>
      <c r="B76" s="1" t="s">
        <v>401</v>
      </c>
      <c r="C76">
        <v>0.94910000000000005</v>
      </c>
      <c r="D76">
        <v>0.77639999999999998</v>
      </c>
      <c r="E76">
        <v>0.81399999999999995</v>
      </c>
      <c r="F76">
        <v>1.0705</v>
      </c>
      <c r="G76">
        <v>0.8397</v>
      </c>
      <c r="H76">
        <v>0.85509999999999997</v>
      </c>
    </row>
    <row r="77" spans="1:8" x14ac:dyDescent="0.3">
      <c r="A77" s="1" t="s">
        <v>509</v>
      </c>
      <c r="B77" s="1" t="s">
        <v>428</v>
      </c>
      <c r="C77">
        <v>0.94750000000000001</v>
      </c>
      <c r="D77">
        <v>0.97440000000000004</v>
      </c>
      <c r="E77">
        <v>1.0081</v>
      </c>
      <c r="F77">
        <v>0.93340000000000001</v>
      </c>
      <c r="G77">
        <v>0.96150000000000002</v>
      </c>
      <c r="H77">
        <v>0.98699999999999999</v>
      </c>
    </row>
    <row r="78" spans="1:8" x14ac:dyDescent="0.3">
      <c r="A78" s="1" t="s">
        <v>617</v>
      </c>
      <c r="B78" s="1" t="s">
        <v>737</v>
      </c>
      <c r="C78">
        <v>0.94550000000000001</v>
      </c>
      <c r="D78">
        <v>0.97719999999999996</v>
      </c>
      <c r="E78">
        <v>0.77129999999999999</v>
      </c>
      <c r="F78">
        <v>0.98409999999999997</v>
      </c>
      <c r="G78">
        <v>1.0105999999999999</v>
      </c>
      <c r="H78">
        <v>0.80020000000000002</v>
      </c>
    </row>
    <row r="79" spans="1:8" x14ac:dyDescent="0.3">
      <c r="A79" s="1" t="s">
        <v>628</v>
      </c>
      <c r="B79" s="1" t="s">
        <v>385</v>
      </c>
      <c r="C79">
        <v>0.94020000000000004</v>
      </c>
      <c r="D79">
        <v>0.83620000000000005</v>
      </c>
      <c r="E79">
        <v>0.87639999999999996</v>
      </c>
      <c r="F79">
        <v>0.94350000000000001</v>
      </c>
      <c r="G79">
        <v>0.84360000000000002</v>
      </c>
      <c r="H79">
        <v>0.87970000000000004</v>
      </c>
    </row>
    <row r="80" spans="1:8" x14ac:dyDescent="0.3">
      <c r="A80" s="1" t="s">
        <v>569</v>
      </c>
      <c r="B80" s="1" t="s">
        <v>424</v>
      </c>
      <c r="C80">
        <v>0.93889999999999996</v>
      </c>
      <c r="D80">
        <v>0.97070000000000001</v>
      </c>
      <c r="E80">
        <v>1.0330999999999999</v>
      </c>
      <c r="F80">
        <v>0.97409999999999997</v>
      </c>
      <c r="G80">
        <v>1.0038</v>
      </c>
      <c r="H80">
        <v>1.0498000000000001</v>
      </c>
    </row>
    <row r="81" spans="1:8" x14ac:dyDescent="0.3">
      <c r="A81" s="1" t="s">
        <v>635</v>
      </c>
      <c r="B81" s="1" t="s">
        <v>382</v>
      </c>
      <c r="C81">
        <v>0.93330000000000002</v>
      </c>
      <c r="D81">
        <v>1.0341</v>
      </c>
      <c r="E81">
        <v>1.0589</v>
      </c>
      <c r="F81">
        <v>0.91349999999999998</v>
      </c>
      <c r="G81">
        <v>0.99739999999999995</v>
      </c>
      <c r="H81">
        <v>1.0569</v>
      </c>
    </row>
    <row r="82" spans="1:8" x14ac:dyDescent="0.3">
      <c r="A82" s="1" t="s">
        <v>589</v>
      </c>
      <c r="B82" s="1" t="s">
        <v>740</v>
      </c>
      <c r="C82">
        <v>0.93320000000000003</v>
      </c>
      <c r="D82">
        <v>0.96030000000000004</v>
      </c>
      <c r="E82">
        <v>1.0029999999999999</v>
      </c>
      <c r="F82">
        <v>1.0246999999999999</v>
      </c>
      <c r="G82">
        <v>1.0287999999999999</v>
      </c>
      <c r="H82">
        <v>1.0454000000000001</v>
      </c>
    </row>
    <row r="83" spans="1:8" x14ac:dyDescent="0.3">
      <c r="A83" s="1" t="s">
        <v>445</v>
      </c>
      <c r="B83" s="1" t="s">
        <v>389</v>
      </c>
      <c r="C83">
        <v>0.93259999999999998</v>
      </c>
      <c r="D83">
        <v>0.97319999999999995</v>
      </c>
      <c r="E83">
        <v>0.88580000000000003</v>
      </c>
      <c r="F83">
        <v>0.92149999999999999</v>
      </c>
      <c r="G83">
        <v>0.96819999999999995</v>
      </c>
      <c r="H83">
        <v>0.90059999999999996</v>
      </c>
    </row>
    <row r="84" spans="1:8" x14ac:dyDescent="0.3">
      <c r="A84" s="1" t="s">
        <v>722</v>
      </c>
      <c r="B84" s="1" t="s">
        <v>410</v>
      </c>
      <c r="C84">
        <v>0.93240000000000001</v>
      </c>
      <c r="D84">
        <v>1.0121</v>
      </c>
      <c r="E84">
        <v>0.91859999999999997</v>
      </c>
      <c r="F84">
        <v>0.9798</v>
      </c>
      <c r="G84">
        <v>1.0669</v>
      </c>
      <c r="H84">
        <v>0.97340000000000004</v>
      </c>
    </row>
    <row r="85" spans="1:8" x14ac:dyDescent="0.3">
      <c r="A85" s="1" t="s">
        <v>711</v>
      </c>
      <c r="B85" s="1" t="s">
        <v>381</v>
      </c>
      <c r="C85">
        <v>0.93169999999999997</v>
      </c>
      <c r="D85">
        <v>1.0085</v>
      </c>
      <c r="E85">
        <v>1.0795999999999999</v>
      </c>
      <c r="F85">
        <v>0.99229999999999996</v>
      </c>
      <c r="G85">
        <v>1.0492999999999999</v>
      </c>
      <c r="H85">
        <v>1.1015999999999999</v>
      </c>
    </row>
    <row r="86" spans="1:8" x14ac:dyDescent="0.3">
      <c r="A86" s="1" t="s">
        <v>660</v>
      </c>
      <c r="B86" s="1" t="s">
        <v>424</v>
      </c>
      <c r="C86">
        <v>0.92849999999999999</v>
      </c>
      <c r="D86">
        <v>0.95130000000000003</v>
      </c>
      <c r="E86">
        <v>0.97699999999999998</v>
      </c>
      <c r="F86">
        <v>0.89890000000000003</v>
      </c>
      <c r="G86">
        <v>0.91549999999999998</v>
      </c>
      <c r="H86">
        <v>0.9234</v>
      </c>
    </row>
    <row r="87" spans="1:8" x14ac:dyDescent="0.3">
      <c r="A87" s="1" t="s">
        <v>689</v>
      </c>
      <c r="B87" s="1" t="s">
        <v>381</v>
      </c>
      <c r="C87">
        <v>0.9274</v>
      </c>
      <c r="D87">
        <v>0.84640000000000004</v>
      </c>
      <c r="E87">
        <v>0.76180000000000003</v>
      </c>
      <c r="F87">
        <v>1.0254000000000001</v>
      </c>
      <c r="G87">
        <v>0.92269999999999996</v>
      </c>
      <c r="H87">
        <v>0.79859999999999998</v>
      </c>
    </row>
    <row r="88" spans="1:8" x14ac:dyDescent="0.3">
      <c r="A88" s="1" t="s">
        <v>555</v>
      </c>
      <c r="B88" s="1" t="s">
        <v>392</v>
      </c>
      <c r="C88">
        <v>0.92159999999999997</v>
      </c>
      <c r="D88">
        <v>0.83240000000000003</v>
      </c>
      <c r="E88">
        <v>0.97119999999999995</v>
      </c>
      <c r="F88">
        <v>0.91420000000000001</v>
      </c>
      <c r="G88">
        <v>0.83330000000000004</v>
      </c>
      <c r="H88">
        <v>0.96060000000000001</v>
      </c>
    </row>
    <row r="89" spans="1:8" x14ac:dyDescent="0.3">
      <c r="A89" s="1" t="s">
        <v>499</v>
      </c>
      <c r="B89" s="1" t="s">
        <v>397</v>
      </c>
      <c r="C89">
        <v>0.9214</v>
      </c>
      <c r="D89">
        <v>0.87639999999999996</v>
      </c>
      <c r="E89">
        <v>0.85740000000000005</v>
      </c>
      <c r="F89">
        <v>0.90100000000000002</v>
      </c>
      <c r="G89">
        <v>0.872</v>
      </c>
      <c r="H89">
        <v>0.83819999999999995</v>
      </c>
    </row>
    <row r="90" spans="1:8" x14ac:dyDescent="0.3">
      <c r="A90" s="1" t="s">
        <v>357</v>
      </c>
      <c r="B90" s="1" t="s">
        <v>251</v>
      </c>
      <c r="C90">
        <v>0.92049999999999998</v>
      </c>
      <c r="D90">
        <v>0.83240000000000003</v>
      </c>
      <c r="E90">
        <v>0.72550000000000003</v>
      </c>
      <c r="F90">
        <v>0.85809999999999997</v>
      </c>
      <c r="G90">
        <v>0.78369999999999995</v>
      </c>
      <c r="H90">
        <v>0.72989999999999999</v>
      </c>
    </row>
    <row r="91" spans="1:8" x14ac:dyDescent="0.3">
      <c r="A91" s="1" t="s">
        <v>693</v>
      </c>
      <c r="B91" s="1" t="s">
        <v>424</v>
      </c>
      <c r="C91">
        <v>0.91849999999999998</v>
      </c>
      <c r="D91">
        <v>0.88560000000000005</v>
      </c>
      <c r="E91">
        <v>0.91069999999999995</v>
      </c>
      <c r="F91">
        <v>0.90939999999999999</v>
      </c>
      <c r="G91">
        <v>0.89319999999999999</v>
      </c>
      <c r="H91">
        <v>0.9073</v>
      </c>
    </row>
    <row r="92" spans="1:8" x14ac:dyDescent="0.3">
      <c r="A92" s="1" t="s">
        <v>653</v>
      </c>
      <c r="B92" s="1" t="s">
        <v>388</v>
      </c>
      <c r="C92">
        <v>0.91810000000000003</v>
      </c>
      <c r="D92">
        <v>0.91810000000000003</v>
      </c>
      <c r="E92">
        <v>0.91810000000000003</v>
      </c>
      <c r="F92">
        <v>0.90349999999999997</v>
      </c>
      <c r="G92">
        <v>0.90349999999999997</v>
      </c>
      <c r="H92">
        <v>0.90349999999999997</v>
      </c>
    </row>
    <row r="93" spans="1:8" x14ac:dyDescent="0.3">
      <c r="A93" s="1" t="s">
        <v>537</v>
      </c>
      <c r="B93" s="1" t="s">
        <v>397</v>
      </c>
      <c r="C93">
        <v>0.9113</v>
      </c>
      <c r="D93">
        <v>0.99660000000000004</v>
      </c>
      <c r="E93">
        <v>0.91990000000000005</v>
      </c>
      <c r="F93">
        <v>0.93589999999999995</v>
      </c>
      <c r="G93">
        <v>1.0227999999999999</v>
      </c>
      <c r="H93">
        <v>0.95209999999999995</v>
      </c>
    </row>
    <row r="94" spans="1:8" x14ac:dyDescent="0.3">
      <c r="A94" s="1" t="s">
        <v>395</v>
      </c>
      <c r="B94" s="1" t="s">
        <v>740</v>
      </c>
      <c r="C94">
        <v>0.9093</v>
      </c>
      <c r="D94">
        <v>0.95820000000000005</v>
      </c>
      <c r="E94">
        <v>0.89559999999999995</v>
      </c>
      <c r="F94">
        <v>0.85089999999999999</v>
      </c>
      <c r="G94">
        <v>0.94350000000000001</v>
      </c>
      <c r="H94">
        <v>0.91790000000000005</v>
      </c>
    </row>
    <row r="95" spans="1:8" x14ac:dyDescent="0.3">
      <c r="A95" s="1" t="s">
        <v>453</v>
      </c>
      <c r="B95" s="1" t="s">
        <v>410</v>
      </c>
      <c r="C95">
        <v>0.90859999999999996</v>
      </c>
      <c r="D95">
        <v>0.84179999999999999</v>
      </c>
      <c r="E95">
        <v>0.88270000000000004</v>
      </c>
      <c r="F95">
        <v>0.96250000000000002</v>
      </c>
      <c r="G95">
        <v>0.88100000000000001</v>
      </c>
      <c r="H95">
        <v>0.90269999999999995</v>
      </c>
    </row>
    <row r="96" spans="1:8" x14ac:dyDescent="0.3">
      <c r="A96" s="1" t="s">
        <v>678</v>
      </c>
      <c r="B96" s="1" t="s">
        <v>383</v>
      </c>
      <c r="C96">
        <v>0.90810000000000002</v>
      </c>
      <c r="D96">
        <v>0.9284</v>
      </c>
      <c r="E96">
        <v>0.85719999999999996</v>
      </c>
      <c r="F96">
        <v>0.95799999999999996</v>
      </c>
      <c r="G96">
        <v>0.95750000000000002</v>
      </c>
      <c r="H96">
        <v>0.85770000000000002</v>
      </c>
    </row>
    <row r="97" spans="1:8" x14ac:dyDescent="0.3">
      <c r="A97" s="1" t="s">
        <v>489</v>
      </c>
      <c r="B97" s="1" t="s">
        <v>410</v>
      </c>
      <c r="C97">
        <v>0.90739999999999998</v>
      </c>
      <c r="D97">
        <v>0.99339999999999995</v>
      </c>
      <c r="E97">
        <v>1.0406</v>
      </c>
      <c r="F97">
        <v>0.94089999999999996</v>
      </c>
      <c r="G97">
        <v>1.0226</v>
      </c>
      <c r="H97">
        <v>1.0505</v>
      </c>
    </row>
    <row r="98" spans="1:8" x14ac:dyDescent="0.3">
      <c r="A98" s="1" t="s">
        <v>455</v>
      </c>
      <c r="B98" s="1" t="s">
        <v>383</v>
      </c>
      <c r="C98">
        <v>0.89500000000000002</v>
      </c>
      <c r="D98">
        <v>0.90549999999999997</v>
      </c>
      <c r="E98">
        <v>0.79630000000000001</v>
      </c>
      <c r="F98">
        <v>0.8337</v>
      </c>
      <c r="G98">
        <v>0.85960000000000003</v>
      </c>
      <c r="H98">
        <v>0.77880000000000005</v>
      </c>
    </row>
    <row r="99" spans="1:8" x14ac:dyDescent="0.3">
      <c r="A99" s="1" t="s">
        <v>541</v>
      </c>
      <c r="B99" s="1" t="s">
        <v>382</v>
      </c>
      <c r="C99">
        <v>0.88990000000000002</v>
      </c>
      <c r="D99">
        <v>0.85799999999999998</v>
      </c>
      <c r="E99">
        <v>0.81410000000000005</v>
      </c>
      <c r="F99">
        <v>0.83530000000000004</v>
      </c>
      <c r="G99">
        <v>0.83209999999999995</v>
      </c>
      <c r="H99">
        <v>0.81669999999999998</v>
      </c>
    </row>
    <row r="100" spans="1:8" x14ac:dyDescent="0.3">
      <c r="A100" s="1" t="s">
        <v>452</v>
      </c>
      <c r="B100" s="1" t="s">
        <v>392</v>
      </c>
      <c r="C100">
        <v>0.88929999999999998</v>
      </c>
      <c r="D100">
        <v>0.85219999999999996</v>
      </c>
      <c r="E100">
        <v>0.79559999999999997</v>
      </c>
      <c r="F100">
        <v>0.91369999999999996</v>
      </c>
      <c r="G100">
        <v>0.88390000000000002</v>
      </c>
      <c r="H100">
        <v>0.8236</v>
      </c>
    </row>
    <row r="101" spans="1:8" x14ac:dyDescent="0.3">
      <c r="A101" s="1" t="s">
        <v>574</v>
      </c>
      <c r="B101" s="1" t="s">
        <v>397</v>
      </c>
      <c r="C101">
        <v>0.8881</v>
      </c>
      <c r="D101">
        <v>0.86040000000000005</v>
      </c>
      <c r="E101">
        <v>0.7006</v>
      </c>
      <c r="F101">
        <v>0.88519999999999999</v>
      </c>
      <c r="G101">
        <v>0.8407</v>
      </c>
      <c r="H101">
        <v>0.68559999999999999</v>
      </c>
    </row>
    <row r="102" spans="1:8" x14ac:dyDescent="0.3">
      <c r="A102" s="1" t="s">
        <v>477</v>
      </c>
      <c r="B102" s="1" t="s">
        <v>738</v>
      </c>
      <c r="C102">
        <v>0.88149999999999995</v>
      </c>
      <c r="D102">
        <v>0.88790000000000002</v>
      </c>
      <c r="E102">
        <v>0.78739999999999999</v>
      </c>
      <c r="F102">
        <v>0.77739999999999998</v>
      </c>
      <c r="G102">
        <v>0.81589999999999996</v>
      </c>
      <c r="H102">
        <v>0.75560000000000005</v>
      </c>
    </row>
    <row r="103" spans="1:8" x14ac:dyDescent="0.3">
      <c r="A103" s="1" t="s">
        <v>420</v>
      </c>
      <c r="B103" s="1" t="s">
        <v>738</v>
      </c>
      <c r="C103">
        <v>0.87639999999999996</v>
      </c>
      <c r="D103">
        <v>1.0141</v>
      </c>
      <c r="E103">
        <v>0.87939999999999996</v>
      </c>
      <c r="F103">
        <v>0.87639999999999996</v>
      </c>
      <c r="G103">
        <v>1.0310999999999999</v>
      </c>
      <c r="H103">
        <v>0.89410000000000001</v>
      </c>
    </row>
    <row r="104" spans="1:8" x14ac:dyDescent="0.3">
      <c r="A104" s="1" t="s">
        <v>645</v>
      </c>
      <c r="B104" s="1" t="s">
        <v>740</v>
      </c>
      <c r="C104">
        <v>0.87050000000000005</v>
      </c>
      <c r="D104">
        <v>0.96719999999999995</v>
      </c>
      <c r="E104">
        <v>0.94210000000000005</v>
      </c>
      <c r="F104">
        <v>0.85699999999999998</v>
      </c>
      <c r="G104">
        <v>0.94730000000000003</v>
      </c>
      <c r="H104">
        <v>0.89249999999999996</v>
      </c>
    </row>
    <row r="105" spans="1:8" x14ac:dyDescent="0.3">
      <c r="A105" s="1" t="s">
        <v>604</v>
      </c>
      <c r="B105" s="1" t="s">
        <v>410</v>
      </c>
      <c r="C105">
        <v>0.87009999999999998</v>
      </c>
      <c r="D105">
        <v>0.84279999999999999</v>
      </c>
      <c r="E105">
        <v>0.80189999999999995</v>
      </c>
      <c r="F105">
        <v>0.89380000000000004</v>
      </c>
      <c r="G105">
        <v>0.87190000000000001</v>
      </c>
      <c r="H105">
        <v>0.83179999999999998</v>
      </c>
    </row>
    <row r="106" spans="1:8" x14ac:dyDescent="0.3">
      <c r="A106" s="1" t="s">
        <v>416</v>
      </c>
      <c r="B106" s="1" t="s">
        <v>389</v>
      </c>
      <c r="C106">
        <v>0.87</v>
      </c>
      <c r="D106">
        <v>0.77390000000000003</v>
      </c>
      <c r="E106">
        <v>0.59150000000000003</v>
      </c>
      <c r="F106">
        <v>0.84289999999999998</v>
      </c>
      <c r="G106">
        <v>0.75209999999999999</v>
      </c>
      <c r="H106">
        <v>0.59550000000000003</v>
      </c>
    </row>
    <row r="107" spans="1:8" x14ac:dyDescent="0.3">
      <c r="A107" s="1" t="s">
        <v>307</v>
      </c>
      <c r="B107" s="1" t="s">
        <v>251</v>
      </c>
      <c r="C107">
        <v>0.86860000000000004</v>
      </c>
      <c r="D107">
        <v>0.59130000000000005</v>
      </c>
      <c r="E107">
        <v>0.74729999999999996</v>
      </c>
      <c r="F107">
        <v>0.90600000000000003</v>
      </c>
      <c r="G107">
        <v>0.61009999999999998</v>
      </c>
      <c r="H107">
        <v>0.76980000000000004</v>
      </c>
    </row>
    <row r="108" spans="1:8" x14ac:dyDescent="0.3">
      <c r="A108" s="1" t="s">
        <v>426</v>
      </c>
      <c r="B108" s="1" t="s">
        <v>427</v>
      </c>
      <c r="C108">
        <v>0.86550000000000005</v>
      </c>
      <c r="D108">
        <v>0.8871</v>
      </c>
      <c r="E108">
        <v>0.80549999999999999</v>
      </c>
      <c r="F108">
        <v>0.93210000000000004</v>
      </c>
      <c r="G108">
        <v>0.96909999999999996</v>
      </c>
      <c r="H108">
        <v>0.86270000000000002</v>
      </c>
    </row>
    <row r="109" spans="1:8" x14ac:dyDescent="0.3">
      <c r="A109" s="1" t="s">
        <v>601</v>
      </c>
      <c r="B109" s="1" t="s">
        <v>401</v>
      </c>
      <c r="C109">
        <v>0.85770000000000002</v>
      </c>
      <c r="D109">
        <v>0.97770000000000001</v>
      </c>
      <c r="E109">
        <v>0.92749999999999999</v>
      </c>
      <c r="F109">
        <v>0.91449999999999998</v>
      </c>
      <c r="G109">
        <v>1.0406</v>
      </c>
      <c r="H109">
        <v>0.99009999999999998</v>
      </c>
    </row>
    <row r="110" spans="1:8" x14ac:dyDescent="0.3">
      <c r="A110" s="1" t="s">
        <v>483</v>
      </c>
      <c r="B110" s="1" t="s">
        <v>385</v>
      </c>
      <c r="C110">
        <v>0.85540000000000005</v>
      </c>
      <c r="D110">
        <v>0.76829999999999998</v>
      </c>
      <c r="E110">
        <v>0.88859999999999995</v>
      </c>
      <c r="F110">
        <v>0.88280000000000003</v>
      </c>
      <c r="G110">
        <v>0.79320000000000002</v>
      </c>
      <c r="H110">
        <v>0.91800000000000004</v>
      </c>
    </row>
    <row r="111" spans="1:8" x14ac:dyDescent="0.3">
      <c r="A111" s="1" t="s">
        <v>639</v>
      </c>
      <c r="B111" s="1" t="s">
        <v>410</v>
      </c>
      <c r="C111">
        <v>0.85099999999999998</v>
      </c>
      <c r="D111">
        <v>0.8569</v>
      </c>
      <c r="E111">
        <v>0.73650000000000004</v>
      </c>
      <c r="F111">
        <v>0.94369999999999998</v>
      </c>
      <c r="G111">
        <v>0.93830000000000002</v>
      </c>
      <c r="H111">
        <v>0.78659999999999997</v>
      </c>
    </row>
    <row r="112" spans="1:8" x14ac:dyDescent="0.3">
      <c r="A112" s="1" t="s">
        <v>670</v>
      </c>
      <c r="B112" s="1" t="s">
        <v>428</v>
      </c>
      <c r="C112">
        <v>0.85009999999999997</v>
      </c>
      <c r="D112">
        <v>0.81869999999999998</v>
      </c>
      <c r="E112">
        <v>0.8901</v>
      </c>
      <c r="F112">
        <v>0.89449999999999996</v>
      </c>
      <c r="G112">
        <v>0.86409999999999998</v>
      </c>
      <c r="H112">
        <v>0.91930000000000001</v>
      </c>
    </row>
    <row r="113" spans="1:8" x14ac:dyDescent="0.3">
      <c r="A113" s="1" t="s">
        <v>640</v>
      </c>
      <c r="B113" s="1" t="s">
        <v>397</v>
      </c>
      <c r="C113">
        <v>0.84909999999999997</v>
      </c>
      <c r="D113">
        <v>0.79510000000000003</v>
      </c>
      <c r="E113">
        <v>0.69669999999999999</v>
      </c>
      <c r="F113">
        <v>0.85770000000000002</v>
      </c>
      <c r="G113">
        <v>0.81340000000000001</v>
      </c>
      <c r="H113">
        <v>0.70709999999999995</v>
      </c>
    </row>
    <row r="114" spans="1:8" x14ac:dyDescent="0.3">
      <c r="A114" s="1" t="s">
        <v>565</v>
      </c>
      <c r="B114" s="1" t="s">
        <v>737</v>
      </c>
      <c r="C114">
        <v>0.8458</v>
      </c>
      <c r="D114">
        <v>0.83089999999999997</v>
      </c>
      <c r="E114">
        <v>0.83579999999999999</v>
      </c>
      <c r="F114">
        <v>0.87370000000000003</v>
      </c>
      <c r="G114">
        <v>0.81879999999999997</v>
      </c>
      <c r="H114">
        <v>0.83189999999999997</v>
      </c>
    </row>
    <row r="115" spans="1:8" x14ac:dyDescent="0.3">
      <c r="A115" s="1" t="s">
        <v>446</v>
      </c>
      <c r="B115" s="1" t="s">
        <v>428</v>
      </c>
      <c r="C115">
        <v>0.84240000000000004</v>
      </c>
      <c r="D115">
        <v>0.86880000000000002</v>
      </c>
      <c r="E115">
        <v>0.8296</v>
      </c>
      <c r="F115">
        <v>0.86719999999999997</v>
      </c>
      <c r="G115">
        <v>0.86760000000000004</v>
      </c>
      <c r="H115">
        <v>0.85370000000000001</v>
      </c>
    </row>
    <row r="116" spans="1:8" x14ac:dyDescent="0.3">
      <c r="A116" s="1" t="s">
        <v>481</v>
      </c>
      <c r="B116" s="1" t="s">
        <v>424</v>
      </c>
      <c r="C116">
        <v>0.84140000000000004</v>
      </c>
      <c r="D116">
        <v>0.73529999999999995</v>
      </c>
      <c r="E116">
        <v>0.91539999999999999</v>
      </c>
      <c r="F116">
        <v>0.82589999999999997</v>
      </c>
      <c r="G116">
        <v>0.72809999999999997</v>
      </c>
      <c r="H116">
        <v>0.89710000000000001</v>
      </c>
    </row>
    <row r="117" spans="1:8" x14ac:dyDescent="0.3">
      <c r="A117" s="1" t="s">
        <v>679</v>
      </c>
      <c r="B117" s="1" t="s">
        <v>385</v>
      </c>
      <c r="C117">
        <v>0.83909999999999996</v>
      </c>
      <c r="D117">
        <v>0.75139999999999996</v>
      </c>
      <c r="E117">
        <v>0.59319999999999995</v>
      </c>
      <c r="F117">
        <v>0.74019999999999997</v>
      </c>
      <c r="G117">
        <v>0.67900000000000005</v>
      </c>
      <c r="H117">
        <v>0.58130000000000004</v>
      </c>
    </row>
    <row r="118" spans="1:8" x14ac:dyDescent="0.3">
      <c r="A118" s="1" t="s">
        <v>742</v>
      </c>
      <c r="B118" s="1" t="s">
        <v>382</v>
      </c>
      <c r="C118">
        <v>0.8377</v>
      </c>
      <c r="D118">
        <v>0.90720000000000001</v>
      </c>
      <c r="E118">
        <v>0.88449999999999995</v>
      </c>
      <c r="F118">
        <v>0.87019999999999997</v>
      </c>
      <c r="G118">
        <v>0.91910000000000003</v>
      </c>
      <c r="H118">
        <v>0.87529999999999997</v>
      </c>
    </row>
    <row r="119" spans="1:8" x14ac:dyDescent="0.3">
      <c r="A119" s="1" t="s">
        <v>507</v>
      </c>
      <c r="B119" s="1" t="s">
        <v>427</v>
      </c>
      <c r="C119">
        <v>0.83460000000000001</v>
      </c>
      <c r="D119">
        <v>0.86960000000000004</v>
      </c>
      <c r="E119">
        <v>0.82599999999999996</v>
      </c>
      <c r="F119">
        <v>0.86760000000000004</v>
      </c>
      <c r="G119">
        <v>0.91610000000000003</v>
      </c>
      <c r="H119">
        <v>0.85399999999999998</v>
      </c>
    </row>
    <row r="120" spans="1:8" x14ac:dyDescent="0.3">
      <c r="A120" s="1" t="s">
        <v>671</v>
      </c>
      <c r="B120" s="1" t="s">
        <v>397</v>
      </c>
      <c r="C120">
        <v>0.83320000000000005</v>
      </c>
      <c r="D120">
        <v>0.6653</v>
      </c>
      <c r="E120">
        <v>0.60850000000000004</v>
      </c>
      <c r="F120">
        <v>0.84</v>
      </c>
      <c r="G120">
        <v>0.68149999999999999</v>
      </c>
      <c r="H120">
        <v>0.6341</v>
      </c>
    </row>
    <row r="121" spans="1:8" x14ac:dyDescent="0.3">
      <c r="A121" s="1" t="s">
        <v>306</v>
      </c>
      <c r="B121" s="1" t="s">
        <v>251</v>
      </c>
      <c r="C121">
        <v>0.83009999999999995</v>
      </c>
      <c r="D121">
        <v>0.89829999999999999</v>
      </c>
      <c r="E121">
        <v>0.80969999999999998</v>
      </c>
      <c r="F121">
        <v>0.84750000000000003</v>
      </c>
      <c r="G121">
        <v>0.89970000000000006</v>
      </c>
      <c r="H121">
        <v>0.79579999999999995</v>
      </c>
    </row>
    <row r="122" spans="1:8" x14ac:dyDescent="0.3">
      <c r="A122" s="1" t="s">
        <v>662</v>
      </c>
      <c r="B122" s="1" t="s">
        <v>410</v>
      </c>
      <c r="C122">
        <v>0.82779999999999998</v>
      </c>
      <c r="D122">
        <v>0.88839999999999997</v>
      </c>
      <c r="E122">
        <v>0.56220000000000003</v>
      </c>
      <c r="F122">
        <v>0.8679</v>
      </c>
      <c r="G122">
        <v>0.91759999999999997</v>
      </c>
      <c r="H122">
        <v>0.56379999999999997</v>
      </c>
    </row>
    <row r="123" spans="1:8" x14ac:dyDescent="0.3">
      <c r="A123" s="1" t="s">
        <v>654</v>
      </c>
      <c r="B123" s="1" t="s">
        <v>740</v>
      </c>
      <c r="C123">
        <v>0.8276</v>
      </c>
      <c r="D123">
        <v>0.74409999999999998</v>
      </c>
      <c r="E123">
        <v>0.89910000000000001</v>
      </c>
      <c r="F123">
        <v>0.7087</v>
      </c>
      <c r="G123">
        <v>0.67710000000000004</v>
      </c>
      <c r="H123">
        <v>0.80640000000000001</v>
      </c>
    </row>
    <row r="124" spans="1:8" x14ac:dyDescent="0.3">
      <c r="A124" s="1" t="s">
        <v>423</v>
      </c>
      <c r="B124" s="1" t="s">
        <v>424</v>
      </c>
      <c r="C124">
        <v>0.82509999999999994</v>
      </c>
      <c r="D124">
        <v>0.86170000000000002</v>
      </c>
      <c r="E124">
        <v>0.87919999999999998</v>
      </c>
      <c r="F124">
        <v>0.86609999999999998</v>
      </c>
      <c r="G124">
        <v>0.88400000000000001</v>
      </c>
      <c r="H124">
        <v>0.90780000000000005</v>
      </c>
    </row>
    <row r="125" spans="1:8" x14ac:dyDescent="0.3">
      <c r="A125" s="1" t="s">
        <v>464</v>
      </c>
      <c r="B125" s="1" t="s">
        <v>401</v>
      </c>
      <c r="C125">
        <v>0.82410000000000005</v>
      </c>
      <c r="D125">
        <v>0.83579999999999999</v>
      </c>
      <c r="E125">
        <v>0.86680000000000001</v>
      </c>
      <c r="F125">
        <v>0.86109999999999998</v>
      </c>
      <c r="G125">
        <v>0.86150000000000004</v>
      </c>
      <c r="H125">
        <v>0.86609999999999998</v>
      </c>
    </row>
    <row r="126" spans="1:8" x14ac:dyDescent="0.3">
      <c r="A126" s="1" t="s">
        <v>497</v>
      </c>
      <c r="B126" s="1" t="s">
        <v>410</v>
      </c>
      <c r="C126">
        <v>0.82310000000000005</v>
      </c>
      <c r="D126">
        <v>0.7752</v>
      </c>
      <c r="E126">
        <v>0.69210000000000005</v>
      </c>
      <c r="F126">
        <v>0.90639999999999998</v>
      </c>
      <c r="G126">
        <v>0.83140000000000003</v>
      </c>
      <c r="H126">
        <v>0.74039999999999995</v>
      </c>
    </row>
    <row r="127" spans="1:8" x14ac:dyDescent="0.3">
      <c r="A127" s="1" t="s">
        <v>534</v>
      </c>
      <c r="B127" s="1" t="s">
        <v>401</v>
      </c>
      <c r="C127">
        <v>0.81979999999999997</v>
      </c>
      <c r="D127">
        <v>0.93359999999999999</v>
      </c>
      <c r="E127">
        <v>0.89559999999999995</v>
      </c>
      <c r="F127">
        <v>0.97919999999999996</v>
      </c>
      <c r="G127">
        <v>1.0321</v>
      </c>
      <c r="H127">
        <v>0.9002</v>
      </c>
    </row>
    <row r="128" spans="1:8" x14ac:dyDescent="0.3">
      <c r="A128" s="1" t="s">
        <v>511</v>
      </c>
      <c r="B128" s="1" t="s">
        <v>383</v>
      </c>
      <c r="C128">
        <v>0.81589999999999996</v>
      </c>
      <c r="D128">
        <v>0.90790000000000004</v>
      </c>
      <c r="E128">
        <v>0.87409999999999999</v>
      </c>
      <c r="F128">
        <v>0.83720000000000006</v>
      </c>
      <c r="G128">
        <v>0.92100000000000004</v>
      </c>
      <c r="H128">
        <v>0.88070000000000004</v>
      </c>
    </row>
    <row r="129" spans="1:8" x14ac:dyDescent="0.3">
      <c r="A129" s="1" t="s">
        <v>633</v>
      </c>
      <c r="B129" s="1" t="s">
        <v>388</v>
      </c>
      <c r="C129">
        <v>0.81310000000000004</v>
      </c>
      <c r="D129">
        <v>0.8337</v>
      </c>
      <c r="E129">
        <v>0.9667</v>
      </c>
      <c r="F129">
        <v>0.82740000000000002</v>
      </c>
      <c r="G129">
        <v>0.84550000000000003</v>
      </c>
      <c r="H129">
        <v>0.999</v>
      </c>
    </row>
    <row r="130" spans="1:8" x14ac:dyDescent="0.3">
      <c r="A130" s="1" t="s">
        <v>352</v>
      </c>
      <c r="B130" s="1" t="s">
        <v>257</v>
      </c>
      <c r="C130">
        <v>0.81269999999999998</v>
      </c>
      <c r="D130">
        <v>0.76559999999999995</v>
      </c>
      <c r="E130">
        <v>0.76459999999999995</v>
      </c>
      <c r="F130">
        <v>0.84450000000000003</v>
      </c>
      <c r="G130">
        <v>0.80030000000000001</v>
      </c>
      <c r="H130">
        <v>0.78120000000000001</v>
      </c>
    </row>
    <row r="131" spans="1:8" x14ac:dyDescent="0.3">
      <c r="A131" s="1" t="s">
        <v>593</v>
      </c>
      <c r="B131" s="1" t="s">
        <v>738</v>
      </c>
      <c r="C131">
        <v>0.81220000000000003</v>
      </c>
      <c r="D131">
        <v>0.82210000000000005</v>
      </c>
      <c r="E131">
        <v>0.82210000000000005</v>
      </c>
      <c r="F131">
        <v>0.8</v>
      </c>
      <c r="G131">
        <v>0.83979999999999999</v>
      </c>
      <c r="H131">
        <v>0.83979999999999999</v>
      </c>
    </row>
    <row r="132" spans="1:8" x14ac:dyDescent="0.3">
      <c r="A132" s="1" t="s">
        <v>743</v>
      </c>
      <c r="B132" s="1" t="s">
        <v>381</v>
      </c>
      <c r="C132">
        <v>0.81220000000000003</v>
      </c>
      <c r="D132">
        <v>0.64670000000000005</v>
      </c>
      <c r="E132">
        <v>0.62690000000000001</v>
      </c>
      <c r="F132">
        <v>0.68010000000000004</v>
      </c>
      <c r="G132">
        <v>0.60229999999999995</v>
      </c>
      <c r="H132">
        <v>0.59589999999999999</v>
      </c>
    </row>
    <row r="133" spans="1:8" x14ac:dyDescent="0.3">
      <c r="A133" s="1" t="s">
        <v>304</v>
      </c>
      <c r="B133" s="1" t="s">
        <v>257</v>
      </c>
      <c r="C133">
        <v>0.80879999999999996</v>
      </c>
      <c r="D133">
        <v>0.93089999999999995</v>
      </c>
      <c r="E133">
        <v>0.74880000000000002</v>
      </c>
      <c r="F133">
        <v>0.81789999999999996</v>
      </c>
      <c r="G133">
        <v>0.92279999999999995</v>
      </c>
      <c r="H133">
        <v>0.75660000000000005</v>
      </c>
    </row>
    <row r="134" spans="1:8" x14ac:dyDescent="0.3">
      <c r="A134" s="1" t="s">
        <v>667</v>
      </c>
      <c r="B134" s="1" t="s">
        <v>385</v>
      </c>
      <c r="C134">
        <v>0.80779999999999996</v>
      </c>
      <c r="D134">
        <v>0.81169999999999998</v>
      </c>
      <c r="E134">
        <v>0.75190000000000001</v>
      </c>
      <c r="F134">
        <v>0.8639</v>
      </c>
      <c r="G134">
        <v>0.86009999999999998</v>
      </c>
      <c r="H134">
        <v>0.78810000000000002</v>
      </c>
    </row>
    <row r="135" spans="1:8" x14ac:dyDescent="0.3">
      <c r="A135" s="1" t="s">
        <v>613</v>
      </c>
      <c r="B135" s="1" t="s">
        <v>428</v>
      </c>
      <c r="C135">
        <v>0.8004</v>
      </c>
      <c r="D135">
        <v>0.84379999999999999</v>
      </c>
      <c r="E135">
        <v>0.85419999999999996</v>
      </c>
      <c r="F135">
        <v>0.80159999999999998</v>
      </c>
      <c r="G135">
        <v>0.84340000000000004</v>
      </c>
      <c r="H135">
        <v>0.88649999999999995</v>
      </c>
    </row>
    <row r="136" spans="1:8" x14ac:dyDescent="0.3">
      <c r="A136" s="1" t="s">
        <v>725</v>
      </c>
      <c r="B136" s="1" t="s">
        <v>381</v>
      </c>
      <c r="C136">
        <v>0.80020000000000002</v>
      </c>
      <c r="D136">
        <v>0.80649999999999999</v>
      </c>
      <c r="E136">
        <v>0.89980000000000004</v>
      </c>
      <c r="F136">
        <v>0.81589999999999996</v>
      </c>
      <c r="G136">
        <v>0.81679999999999997</v>
      </c>
      <c r="H136">
        <v>0.90159999999999996</v>
      </c>
    </row>
    <row r="137" spans="1:8" x14ac:dyDescent="0.3">
      <c r="A137" s="1" t="s">
        <v>648</v>
      </c>
      <c r="B137" s="1" t="s">
        <v>397</v>
      </c>
      <c r="C137">
        <v>0.79879999999999995</v>
      </c>
      <c r="D137">
        <v>0.87229999999999996</v>
      </c>
      <c r="E137">
        <v>1.1141000000000001</v>
      </c>
      <c r="F137">
        <v>0.85140000000000005</v>
      </c>
      <c r="G137">
        <v>0.91820000000000002</v>
      </c>
      <c r="H137">
        <v>1.0943000000000001</v>
      </c>
    </row>
    <row r="138" spans="1:8" x14ac:dyDescent="0.3">
      <c r="A138" s="1" t="s">
        <v>712</v>
      </c>
      <c r="B138" s="1" t="s">
        <v>392</v>
      </c>
      <c r="C138">
        <v>0.78910000000000002</v>
      </c>
      <c r="D138">
        <v>0.75129999999999997</v>
      </c>
      <c r="E138">
        <v>0.8216</v>
      </c>
      <c r="F138">
        <v>0.81340000000000001</v>
      </c>
      <c r="G138">
        <v>0.78569999999999995</v>
      </c>
      <c r="H138">
        <v>0.8256</v>
      </c>
    </row>
    <row r="139" spans="1:8" x14ac:dyDescent="0.3">
      <c r="A139" s="1" t="s">
        <v>523</v>
      </c>
      <c r="B139" s="1" t="s">
        <v>388</v>
      </c>
      <c r="C139">
        <v>0.78849999999999998</v>
      </c>
      <c r="D139">
        <v>0.73270000000000002</v>
      </c>
      <c r="E139">
        <v>0.83889999999999998</v>
      </c>
      <c r="F139">
        <v>0.82830000000000004</v>
      </c>
      <c r="G139">
        <v>0.77339999999999998</v>
      </c>
      <c r="H139">
        <v>0.87609999999999999</v>
      </c>
    </row>
    <row r="140" spans="1:8" x14ac:dyDescent="0.3">
      <c r="A140" s="1" t="s">
        <v>512</v>
      </c>
      <c r="B140" s="1" t="s">
        <v>383</v>
      </c>
      <c r="C140">
        <v>0.78559999999999997</v>
      </c>
      <c r="D140">
        <v>0.78339999999999999</v>
      </c>
      <c r="E140">
        <v>0.84179999999999999</v>
      </c>
      <c r="F140">
        <v>0.71719999999999995</v>
      </c>
      <c r="G140">
        <v>0.73519999999999996</v>
      </c>
      <c r="H140">
        <v>0.78639999999999999</v>
      </c>
    </row>
    <row r="141" spans="1:8" x14ac:dyDescent="0.3">
      <c r="A141" s="1" t="s">
        <v>572</v>
      </c>
      <c r="B141" s="1" t="s">
        <v>427</v>
      </c>
      <c r="C141">
        <v>0.78390000000000004</v>
      </c>
      <c r="D141">
        <v>0.90939999999999999</v>
      </c>
      <c r="E141">
        <v>1.0002</v>
      </c>
      <c r="F141">
        <v>0.8669</v>
      </c>
      <c r="G141">
        <v>0.97050000000000003</v>
      </c>
      <c r="H141">
        <v>1.0563</v>
      </c>
    </row>
    <row r="142" spans="1:8" x14ac:dyDescent="0.3">
      <c r="A142" s="1" t="s">
        <v>505</v>
      </c>
      <c r="B142" s="1" t="s">
        <v>385</v>
      </c>
      <c r="C142">
        <v>0.78359999999999996</v>
      </c>
      <c r="D142">
        <v>0.84050000000000002</v>
      </c>
      <c r="E142">
        <v>1.1209</v>
      </c>
      <c r="F142">
        <v>0.79979999999999996</v>
      </c>
      <c r="G142">
        <v>0.86209999999999998</v>
      </c>
      <c r="H142">
        <v>1.1454</v>
      </c>
    </row>
    <row r="143" spans="1:8" x14ac:dyDescent="0.3">
      <c r="A143" s="1" t="s">
        <v>526</v>
      </c>
      <c r="B143" s="1" t="s">
        <v>740</v>
      </c>
      <c r="C143">
        <v>0.78349999999999997</v>
      </c>
      <c r="D143">
        <v>0.81820000000000004</v>
      </c>
      <c r="E143">
        <v>0.86909999999999998</v>
      </c>
      <c r="F143">
        <v>0.83919999999999995</v>
      </c>
      <c r="G143">
        <v>0.87329999999999997</v>
      </c>
      <c r="H143">
        <v>0.91069999999999995</v>
      </c>
    </row>
    <row r="144" spans="1:8" x14ac:dyDescent="0.3">
      <c r="A144" s="1" t="s">
        <v>465</v>
      </c>
      <c r="B144" s="1" t="s">
        <v>424</v>
      </c>
      <c r="C144">
        <v>0.78190000000000004</v>
      </c>
      <c r="D144">
        <v>0.87229999999999996</v>
      </c>
      <c r="E144">
        <v>0.8669</v>
      </c>
      <c r="F144">
        <v>0.82589999999999997</v>
      </c>
      <c r="G144">
        <v>0.91010000000000002</v>
      </c>
      <c r="H144">
        <v>0.90249999999999997</v>
      </c>
    </row>
    <row r="145" spans="1:8" x14ac:dyDescent="0.3">
      <c r="A145" s="1" t="s">
        <v>592</v>
      </c>
      <c r="B145" s="1" t="s">
        <v>401</v>
      </c>
      <c r="C145">
        <v>0.78180000000000005</v>
      </c>
      <c r="D145">
        <v>0.82520000000000004</v>
      </c>
      <c r="E145">
        <v>0.88590000000000002</v>
      </c>
      <c r="F145">
        <v>0.92110000000000003</v>
      </c>
      <c r="G145">
        <v>0.8871</v>
      </c>
      <c r="H145">
        <v>0.88239999999999996</v>
      </c>
    </row>
    <row r="146" spans="1:8" x14ac:dyDescent="0.3">
      <c r="A146" s="1" t="s">
        <v>514</v>
      </c>
      <c r="B146" s="1" t="s">
        <v>410</v>
      </c>
      <c r="C146">
        <v>0.77900000000000003</v>
      </c>
      <c r="D146">
        <v>0.84179999999999999</v>
      </c>
      <c r="E146">
        <v>0.73170000000000002</v>
      </c>
      <c r="F146">
        <v>0.8</v>
      </c>
      <c r="G146">
        <v>0.86739999999999995</v>
      </c>
      <c r="H146">
        <v>0.76370000000000005</v>
      </c>
    </row>
    <row r="147" spans="1:8" x14ac:dyDescent="0.3">
      <c r="A147" s="1" t="s">
        <v>487</v>
      </c>
      <c r="B147" s="1" t="s">
        <v>737</v>
      </c>
      <c r="C147">
        <v>0.77839999999999998</v>
      </c>
      <c r="D147">
        <v>0.80620000000000003</v>
      </c>
      <c r="E147">
        <v>0.80769999999999997</v>
      </c>
      <c r="F147">
        <v>0.80200000000000005</v>
      </c>
      <c r="G147">
        <v>0.82199999999999995</v>
      </c>
      <c r="H147">
        <v>0.79490000000000005</v>
      </c>
    </row>
    <row r="148" spans="1:8" x14ac:dyDescent="0.3">
      <c r="A148" s="1" t="s">
        <v>317</v>
      </c>
      <c r="B148" s="1" t="s">
        <v>251</v>
      </c>
      <c r="C148">
        <v>0.77410000000000001</v>
      </c>
      <c r="D148">
        <v>0.84689999999999999</v>
      </c>
      <c r="E148">
        <v>0.84860000000000002</v>
      </c>
      <c r="F148">
        <v>0.82289999999999996</v>
      </c>
      <c r="G148">
        <v>0.89749999999999996</v>
      </c>
      <c r="H148">
        <v>0.90459999999999996</v>
      </c>
    </row>
    <row r="149" spans="1:8" x14ac:dyDescent="0.3">
      <c r="A149" s="1" t="s">
        <v>584</v>
      </c>
      <c r="B149" s="1" t="s">
        <v>392</v>
      </c>
      <c r="C149">
        <v>0.77329999999999999</v>
      </c>
      <c r="D149">
        <v>0.72060000000000002</v>
      </c>
      <c r="E149">
        <v>0.72060000000000002</v>
      </c>
      <c r="F149">
        <v>0.8054</v>
      </c>
      <c r="G149">
        <v>0.75229999999999997</v>
      </c>
      <c r="H149">
        <v>0.75229999999999997</v>
      </c>
    </row>
    <row r="150" spans="1:8" x14ac:dyDescent="0.3">
      <c r="A150" s="1" t="s">
        <v>493</v>
      </c>
      <c r="B150" s="1" t="s">
        <v>397</v>
      </c>
      <c r="C150">
        <v>0.77039999999999997</v>
      </c>
      <c r="D150">
        <v>0.80579999999999996</v>
      </c>
      <c r="E150">
        <v>0.69730000000000003</v>
      </c>
      <c r="F150">
        <v>0.79630000000000001</v>
      </c>
      <c r="G150">
        <v>0.82450000000000001</v>
      </c>
      <c r="H150">
        <v>0.70599999999999996</v>
      </c>
    </row>
    <row r="151" spans="1:8" x14ac:dyDescent="0.3">
      <c r="A151" s="1" t="s">
        <v>529</v>
      </c>
      <c r="B151" s="1" t="s">
        <v>381</v>
      </c>
      <c r="C151">
        <v>0.76970000000000005</v>
      </c>
      <c r="D151">
        <v>0.58460000000000001</v>
      </c>
      <c r="E151">
        <v>0.64529999999999998</v>
      </c>
      <c r="F151">
        <v>0.84460000000000002</v>
      </c>
      <c r="G151">
        <v>0.61209999999999998</v>
      </c>
      <c r="H151">
        <v>0.67930000000000001</v>
      </c>
    </row>
    <row r="152" spans="1:8" x14ac:dyDescent="0.3">
      <c r="A152" s="1" t="s">
        <v>597</v>
      </c>
      <c r="B152" s="1" t="s">
        <v>424</v>
      </c>
      <c r="C152">
        <v>0.76880000000000004</v>
      </c>
      <c r="D152">
        <v>0.76959999999999995</v>
      </c>
      <c r="E152">
        <v>0.76880000000000004</v>
      </c>
      <c r="F152">
        <v>0.81100000000000005</v>
      </c>
      <c r="G152">
        <v>0.80959999999999999</v>
      </c>
      <c r="H152">
        <v>0.78569999999999995</v>
      </c>
    </row>
    <row r="153" spans="1:8" x14ac:dyDescent="0.3">
      <c r="A153" s="1" t="s">
        <v>393</v>
      </c>
      <c r="B153" s="1" t="s">
        <v>385</v>
      </c>
      <c r="C153">
        <v>0.75870000000000004</v>
      </c>
      <c r="D153">
        <v>0.87039999999999995</v>
      </c>
      <c r="E153">
        <v>1.0855999999999999</v>
      </c>
      <c r="F153">
        <v>0.74750000000000005</v>
      </c>
      <c r="G153">
        <v>0.85770000000000002</v>
      </c>
      <c r="H153">
        <v>1.0835999999999999</v>
      </c>
    </row>
    <row r="154" spans="1:8" x14ac:dyDescent="0.3">
      <c r="A154" s="1" t="s">
        <v>516</v>
      </c>
      <c r="B154" s="1" t="s">
        <v>383</v>
      </c>
      <c r="C154">
        <v>0.75009999999999999</v>
      </c>
      <c r="D154">
        <v>0.77480000000000004</v>
      </c>
      <c r="E154">
        <v>0.64059999999999995</v>
      </c>
      <c r="F154">
        <v>0.77900000000000003</v>
      </c>
      <c r="G154">
        <v>0.79369999999999996</v>
      </c>
      <c r="H154">
        <v>0.65329999999999999</v>
      </c>
    </row>
    <row r="155" spans="1:8" x14ac:dyDescent="0.3">
      <c r="A155" s="1" t="s">
        <v>669</v>
      </c>
      <c r="B155" s="1" t="s">
        <v>383</v>
      </c>
      <c r="C155">
        <v>0.74850000000000005</v>
      </c>
      <c r="D155">
        <v>0.8034</v>
      </c>
      <c r="E155">
        <v>0.81889999999999996</v>
      </c>
      <c r="F155">
        <v>0.74280000000000002</v>
      </c>
      <c r="G155">
        <v>0.79820000000000002</v>
      </c>
      <c r="H155">
        <v>0.84450000000000003</v>
      </c>
    </row>
    <row r="156" spans="1:8" x14ac:dyDescent="0.3">
      <c r="A156" s="1" t="s">
        <v>561</v>
      </c>
      <c r="B156" s="1" t="s">
        <v>737</v>
      </c>
      <c r="C156">
        <v>0.74709999999999999</v>
      </c>
      <c r="D156">
        <v>1.0134000000000001</v>
      </c>
      <c r="E156">
        <v>1.0317000000000001</v>
      </c>
      <c r="F156">
        <v>0.78500000000000003</v>
      </c>
      <c r="G156">
        <v>1.0467</v>
      </c>
      <c r="H156">
        <v>1.0590999999999999</v>
      </c>
    </row>
    <row r="157" spans="1:8" x14ac:dyDescent="0.3">
      <c r="A157" s="1" t="s">
        <v>495</v>
      </c>
      <c r="B157" s="1" t="s">
        <v>737</v>
      </c>
      <c r="C157">
        <v>0.74609999999999999</v>
      </c>
      <c r="D157">
        <v>0.94450000000000001</v>
      </c>
      <c r="E157">
        <v>1.0649</v>
      </c>
      <c r="F157">
        <v>0.74770000000000003</v>
      </c>
      <c r="G157">
        <v>0.93569999999999998</v>
      </c>
      <c r="H157">
        <v>1.0367</v>
      </c>
    </row>
    <row r="158" spans="1:8" x14ac:dyDescent="0.3">
      <c r="A158" s="1" t="s">
        <v>327</v>
      </c>
      <c r="B158" s="1" t="s">
        <v>251</v>
      </c>
      <c r="C158">
        <v>0.74539999999999995</v>
      </c>
      <c r="D158">
        <v>0.73670000000000002</v>
      </c>
      <c r="E158">
        <v>0.75280000000000002</v>
      </c>
      <c r="F158">
        <v>0.75129999999999997</v>
      </c>
      <c r="G158">
        <v>0.74709999999999999</v>
      </c>
      <c r="H158">
        <v>0.71960000000000002</v>
      </c>
    </row>
    <row r="159" spans="1:8" x14ac:dyDescent="0.3">
      <c r="A159" s="1" t="s">
        <v>457</v>
      </c>
      <c r="B159" s="1" t="s">
        <v>382</v>
      </c>
      <c r="C159">
        <v>0.74450000000000005</v>
      </c>
      <c r="D159">
        <v>0.79300000000000004</v>
      </c>
      <c r="E159">
        <v>0.79900000000000004</v>
      </c>
      <c r="F159">
        <v>0.71589999999999998</v>
      </c>
      <c r="G159">
        <v>0.76670000000000005</v>
      </c>
      <c r="H159">
        <v>0.7762</v>
      </c>
    </row>
    <row r="160" spans="1:8" x14ac:dyDescent="0.3">
      <c r="A160" s="1" t="s">
        <v>510</v>
      </c>
      <c r="B160" s="1" t="s">
        <v>397</v>
      </c>
      <c r="C160">
        <v>0.73780000000000001</v>
      </c>
      <c r="D160">
        <v>0.72740000000000005</v>
      </c>
      <c r="E160">
        <v>0.71160000000000001</v>
      </c>
      <c r="F160">
        <v>0.74280000000000002</v>
      </c>
      <c r="G160">
        <v>0.74</v>
      </c>
      <c r="H160">
        <v>0.70809999999999995</v>
      </c>
    </row>
    <row r="161" spans="1:8" x14ac:dyDescent="0.3">
      <c r="A161" s="1" t="s">
        <v>638</v>
      </c>
      <c r="B161" s="1" t="s">
        <v>388</v>
      </c>
      <c r="C161">
        <v>0.73229999999999995</v>
      </c>
      <c r="D161">
        <v>0.53810000000000002</v>
      </c>
      <c r="E161">
        <v>0.59460000000000002</v>
      </c>
      <c r="F161">
        <v>0.73980000000000001</v>
      </c>
      <c r="G161">
        <v>0.5302</v>
      </c>
      <c r="H161">
        <v>0.57140000000000002</v>
      </c>
    </row>
    <row r="162" spans="1:8" x14ac:dyDescent="0.3">
      <c r="A162" s="1" t="s">
        <v>695</v>
      </c>
      <c r="B162" s="1" t="s">
        <v>389</v>
      </c>
      <c r="C162">
        <v>0.72299999999999998</v>
      </c>
      <c r="D162">
        <v>0.8579</v>
      </c>
      <c r="E162">
        <v>0.72589999999999999</v>
      </c>
      <c r="F162">
        <v>0.66900000000000004</v>
      </c>
      <c r="G162">
        <v>0.86040000000000005</v>
      </c>
      <c r="H162">
        <v>0.71099999999999997</v>
      </c>
    </row>
    <row r="163" spans="1:8" x14ac:dyDescent="0.3">
      <c r="A163" s="1" t="s">
        <v>696</v>
      </c>
      <c r="B163" s="1" t="s">
        <v>397</v>
      </c>
      <c r="C163">
        <v>0.7198</v>
      </c>
      <c r="D163">
        <v>0.74470000000000003</v>
      </c>
      <c r="E163">
        <v>0.72650000000000003</v>
      </c>
      <c r="F163">
        <v>0.73860000000000003</v>
      </c>
      <c r="G163">
        <v>0.78790000000000004</v>
      </c>
      <c r="H163">
        <v>0.75370000000000004</v>
      </c>
    </row>
    <row r="164" spans="1:8" x14ac:dyDescent="0.3">
      <c r="A164" s="1" t="s">
        <v>440</v>
      </c>
      <c r="B164" s="1" t="s">
        <v>410</v>
      </c>
      <c r="C164">
        <v>0.71819999999999995</v>
      </c>
      <c r="D164">
        <v>0.83499999999999996</v>
      </c>
      <c r="E164">
        <v>0.80630000000000002</v>
      </c>
      <c r="F164">
        <v>0.72340000000000004</v>
      </c>
      <c r="G164">
        <v>0.83340000000000003</v>
      </c>
      <c r="H164">
        <v>0.79169999999999996</v>
      </c>
    </row>
    <row r="165" spans="1:8" x14ac:dyDescent="0.3">
      <c r="A165" s="1" t="s">
        <v>576</v>
      </c>
      <c r="B165" s="1" t="s">
        <v>737</v>
      </c>
      <c r="C165">
        <v>0.71409999999999996</v>
      </c>
      <c r="D165">
        <v>0.73970000000000002</v>
      </c>
      <c r="E165">
        <v>0.76980000000000004</v>
      </c>
      <c r="F165">
        <v>0.72640000000000005</v>
      </c>
      <c r="G165">
        <v>0.75760000000000005</v>
      </c>
      <c r="H165">
        <v>0.76259999999999994</v>
      </c>
    </row>
    <row r="166" spans="1:8" x14ac:dyDescent="0.3">
      <c r="A166" s="1" t="s">
        <v>496</v>
      </c>
      <c r="B166" s="1" t="s">
        <v>392</v>
      </c>
      <c r="C166">
        <v>0.7087</v>
      </c>
      <c r="D166">
        <v>0.71730000000000005</v>
      </c>
      <c r="E166">
        <v>0.71730000000000005</v>
      </c>
      <c r="F166">
        <v>0.73980000000000001</v>
      </c>
      <c r="G166">
        <v>0.73839999999999995</v>
      </c>
      <c r="H166">
        <v>0.73839999999999995</v>
      </c>
    </row>
    <row r="167" spans="1:8" x14ac:dyDescent="0.3">
      <c r="A167" s="1" t="s">
        <v>513</v>
      </c>
      <c r="B167" s="1" t="s">
        <v>381</v>
      </c>
      <c r="C167">
        <v>0.70850000000000002</v>
      </c>
      <c r="D167">
        <v>0.75390000000000001</v>
      </c>
      <c r="E167">
        <v>0.79810000000000003</v>
      </c>
      <c r="F167">
        <v>0.82050000000000001</v>
      </c>
      <c r="G167">
        <v>0.8266</v>
      </c>
      <c r="H167">
        <v>0.82430000000000003</v>
      </c>
    </row>
    <row r="168" spans="1:8" x14ac:dyDescent="0.3">
      <c r="A168" s="1" t="s">
        <v>441</v>
      </c>
      <c r="B168" s="1" t="s">
        <v>424</v>
      </c>
      <c r="C168">
        <v>0.70809999999999995</v>
      </c>
      <c r="D168">
        <v>0.83089999999999997</v>
      </c>
      <c r="E168">
        <v>0.79810000000000003</v>
      </c>
      <c r="F168">
        <v>0.67369999999999997</v>
      </c>
      <c r="G168">
        <v>0.84670000000000001</v>
      </c>
      <c r="H168">
        <v>0.80279999999999996</v>
      </c>
    </row>
    <row r="169" spans="1:8" x14ac:dyDescent="0.3">
      <c r="A169" s="1" t="s">
        <v>500</v>
      </c>
      <c r="B169" s="1" t="s">
        <v>428</v>
      </c>
      <c r="C169">
        <v>0.70720000000000005</v>
      </c>
      <c r="D169">
        <v>0.74739999999999995</v>
      </c>
      <c r="E169">
        <v>0.74139999999999995</v>
      </c>
      <c r="F169">
        <v>0.75570000000000004</v>
      </c>
      <c r="G169">
        <v>0.76419999999999999</v>
      </c>
      <c r="H169">
        <v>0.75660000000000005</v>
      </c>
    </row>
    <row r="170" spans="1:8" x14ac:dyDescent="0.3">
      <c r="A170" s="1" t="s">
        <v>515</v>
      </c>
      <c r="B170" s="1" t="s">
        <v>401</v>
      </c>
      <c r="C170">
        <v>0.70540000000000003</v>
      </c>
      <c r="D170">
        <v>0.68959999999999999</v>
      </c>
      <c r="E170">
        <v>0.61770000000000003</v>
      </c>
      <c r="F170">
        <v>0.77849999999999997</v>
      </c>
      <c r="G170">
        <v>0.74250000000000005</v>
      </c>
      <c r="H170">
        <v>0.63670000000000004</v>
      </c>
    </row>
    <row r="171" spans="1:8" x14ac:dyDescent="0.3">
      <c r="A171" s="1" t="s">
        <v>721</v>
      </c>
      <c r="B171" s="1" t="s">
        <v>388</v>
      </c>
      <c r="C171">
        <v>0.70469999999999999</v>
      </c>
      <c r="D171">
        <v>0.85450000000000004</v>
      </c>
      <c r="E171">
        <v>0.92520000000000002</v>
      </c>
      <c r="F171">
        <v>0.63419999999999999</v>
      </c>
      <c r="G171">
        <v>0.84770000000000001</v>
      </c>
      <c r="H171">
        <v>0.92779999999999996</v>
      </c>
    </row>
    <row r="172" spans="1:8" x14ac:dyDescent="0.3">
      <c r="A172" s="1" t="s">
        <v>658</v>
      </c>
      <c r="B172" s="1" t="s">
        <v>427</v>
      </c>
      <c r="C172">
        <v>0.70050000000000001</v>
      </c>
      <c r="D172">
        <v>0.74880000000000002</v>
      </c>
      <c r="E172">
        <v>0.85040000000000004</v>
      </c>
      <c r="F172">
        <v>0.71460000000000001</v>
      </c>
      <c r="G172">
        <v>0.68479999999999996</v>
      </c>
      <c r="H172">
        <v>0.77959999999999996</v>
      </c>
    </row>
    <row r="173" spans="1:8" x14ac:dyDescent="0.3">
      <c r="A173" s="1" t="s">
        <v>668</v>
      </c>
      <c r="B173" s="1" t="s">
        <v>740</v>
      </c>
      <c r="C173">
        <v>0.6996</v>
      </c>
      <c r="D173">
        <v>0.74990000000000001</v>
      </c>
      <c r="E173">
        <v>0.68859999999999999</v>
      </c>
      <c r="F173">
        <v>0.68559999999999999</v>
      </c>
      <c r="G173">
        <v>0.76129999999999998</v>
      </c>
      <c r="H173">
        <v>0.71319999999999995</v>
      </c>
    </row>
    <row r="174" spans="1:8" x14ac:dyDescent="0.3">
      <c r="A174" s="1" t="s">
        <v>340</v>
      </c>
      <c r="B174" s="1" t="s">
        <v>257</v>
      </c>
      <c r="C174">
        <v>0.69710000000000005</v>
      </c>
      <c r="D174">
        <v>0.71560000000000001</v>
      </c>
      <c r="E174">
        <v>0.6764</v>
      </c>
      <c r="F174">
        <v>0.78510000000000002</v>
      </c>
      <c r="G174">
        <v>0.76429999999999998</v>
      </c>
      <c r="H174">
        <v>0.68730000000000002</v>
      </c>
    </row>
    <row r="175" spans="1:8" x14ac:dyDescent="0.3">
      <c r="A175" s="1" t="s">
        <v>407</v>
      </c>
      <c r="B175" s="1" t="s">
        <v>737</v>
      </c>
      <c r="C175">
        <v>0.68530000000000002</v>
      </c>
      <c r="D175">
        <v>0.68049999999999999</v>
      </c>
      <c r="E175">
        <v>0.63780000000000003</v>
      </c>
      <c r="F175">
        <v>0.71120000000000005</v>
      </c>
      <c r="G175">
        <v>0.71540000000000004</v>
      </c>
      <c r="H175">
        <v>0.66979999999999995</v>
      </c>
    </row>
    <row r="176" spans="1:8" x14ac:dyDescent="0.3">
      <c r="A176" s="1" t="s">
        <v>659</v>
      </c>
      <c r="B176" s="1" t="s">
        <v>740</v>
      </c>
      <c r="C176">
        <v>0.68479999999999996</v>
      </c>
      <c r="D176">
        <v>0.76729999999999998</v>
      </c>
      <c r="E176">
        <v>0.8629</v>
      </c>
      <c r="F176">
        <v>0.69399999999999995</v>
      </c>
      <c r="G176">
        <v>0.78049999999999997</v>
      </c>
      <c r="H176">
        <v>0.86460000000000004</v>
      </c>
    </row>
    <row r="177" spans="1:8" x14ac:dyDescent="0.3">
      <c r="A177" s="1" t="s">
        <v>437</v>
      </c>
      <c r="B177" s="1" t="s">
        <v>737</v>
      </c>
      <c r="C177">
        <v>0.6825</v>
      </c>
      <c r="D177">
        <v>0.79469999999999996</v>
      </c>
      <c r="E177">
        <v>0.70150000000000001</v>
      </c>
      <c r="F177">
        <v>0.7006</v>
      </c>
      <c r="G177">
        <v>0.83350000000000002</v>
      </c>
      <c r="H177">
        <v>0.75829999999999997</v>
      </c>
    </row>
    <row r="178" spans="1:8" x14ac:dyDescent="0.3">
      <c r="A178" s="1" t="s">
        <v>310</v>
      </c>
      <c r="B178" s="1" t="s">
        <v>251</v>
      </c>
      <c r="C178">
        <v>0.67730000000000001</v>
      </c>
      <c r="D178">
        <v>0.6119</v>
      </c>
      <c r="E178">
        <v>0.64070000000000005</v>
      </c>
      <c r="F178">
        <v>0.68300000000000005</v>
      </c>
      <c r="G178">
        <v>0.60799999999999998</v>
      </c>
      <c r="H178">
        <v>0.64859999999999995</v>
      </c>
    </row>
    <row r="179" spans="1:8" x14ac:dyDescent="0.3">
      <c r="A179" s="1" t="s">
        <v>318</v>
      </c>
      <c r="B179" s="1" t="s">
        <v>257</v>
      </c>
      <c r="C179">
        <v>0.67530000000000001</v>
      </c>
      <c r="D179">
        <v>0.58699999999999997</v>
      </c>
      <c r="E179">
        <v>0.59870000000000001</v>
      </c>
      <c r="F179">
        <v>0.68879999999999997</v>
      </c>
      <c r="G179">
        <v>0.60929999999999995</v>
      </c>
      <c r="H179">
        <v>0.61170000000000002</v>
      </c>
    </row>
    <row r="180" spans="1:8" x14ac:dyDescent="0.3">
      <c r="A180" s="1" t="s">
        <v>608</v>
      </c>
      <c r="B180" s="1" t="s">
        <v>428</v>
      </c>
      <c r="C180">
        <v>0.67249999999999999</v>
      </c>
      <c r="D180">
        <v>0.69489999999999996</v>
      </c>
      <c r="E180">
        <v>0.71709999999999996</v>
      </c>
      <c r="F180">
        <v>0.66659999999999997</v>
      </c>
      <c r="G180">
        <v>0.70030000000000003</v>
      </c>
      <c r="H180">
        <v>0.70599999999999996</v>
      </c>
    </row>
    <row r="181" spans="1:8" x14ac:dyDescent="0.3">
      <c r="A181" s="1" t="s">
        <v>661</v>
      </c>
      <c r="B181" s="1" t="s">
        <v>392</v>
      </c>
      <c r="C181">
        <v>0.66869999999999996</v>
      </c>
      <c r="D181">
        <v>0.7893</v>
      </c>
      <c r="E181">
        <v>0.85650000000000004</v>
      </c>
      <c r="F181">
        <v>0.68369999999999997</v>
      </c>
      <c r="G181">
        <v>0.78949999999999998</v>
      </c>
      <c r="H181">
        <v>0.85780000000000001</v>
      </c>
    </row>
    <row r="182" spans="1:8" x14ac:dyDescent="0.3">
      <c r="A182" s="1" t="s">
        <v>680</v>
      </c>
      <c r="B182" s="1" t="s">
        <v>427</v>
      </c>
      <c r="C182">
        <v>0.66349999999999998</v>
      </c>
      <c r="D182">
        <v>0.55800000000000005</v>
      </c>
      <c r="E182">
        <v>0.68940000000000001</v>
      </c>
      <c r="F182">
        <v>0.67700000000000005</v>
      </c>
      <c r="G182">
        <v>0.55669999999999997</v>
      </c>
      <c r="H182">
        <v>0.69720000000000004</v>
      </c>
    </row>
    <row r="183" spans="1:8" x14ac:dyDescent="0.3">
      <c r="A183" s="1" t="s">
        <v>326</v>
      </c>
      <c r="B183" s="1" t="s">
        <v>257</v>
      </c>
      <c r="C183">
        <v>0.66080000000000005</v>
      </c>
      <c r="D183">
        <v>0.77710000000000001</v>
      </c>
      <c r="E183">
        <v>0.74099999999999999</v>
      </c>
      <c r="F183">
        <v>0.67230000000000001</v>
      </c>
      <c r="G183">
        <v>0.77500000000000002</v>
      </c>
      <c r="H183">
        <v>0.74060000000000004</v>
      </c>
    </row>
    <row r="184" spans="1:8" x14ac:dyDescent="0.3">
      <c r="A184" s="1" t="s">
        <v>636</v>
      </c>
      <c r="B184" s="1" t="s">
        <v>381</v>
      </c>
      <c r="C184">
        <v>0.65459999999999996</v>
      </c>
      <c r="D184">
        <v>0.6794</v>
      </c>
      <c r="E184">
        <v>0.74239999999999995</v>
      </c>
      <c r="F184">
        <v>0.58589999999999998</v>
      </c>
      <c r="G184">
        <v>0.60519999999999996</v>
      </c>
      <c r="H184">
        <v>0.65029999999999999</v>
      </c>
    </row>
    <row r="185" spans="1:8" x14ac:dyDescent="0.3">
      <c r="A185" s="1" t="s">
        <v>506</v>
      </c>
      <c r="B185" s="1" t="s">
        <v>401</v>
      </c>
      <c r="C185">
        <v>0.64570000000000005</v>
      </c>
      <c r="D185">
        <v>0.74739999999999995</v>
      </c>
      <c r="E185">
        <v>0.80569999999999997</v>
      </c>
      <c r="F185">
        <v>0.76580000000000004</v>
      </c>
      <c r="G185">
        <v>0.82110000000000005</v>
      </c>
      <c r="H185">
        <v>0.85580000000000001</v>
      </c>
    </row>
    <row r="186" spans="1:8" x14ac:dyDescent="0.3">
      <c r="A186" s="1" t="s">
        <v>575</v>
      </c>
      <c r="B186" s="1" t="s">
        <v>385</v>
      </c>
      <c r="C186">
        <v>0.64539999999999997</v>
      </c>
      <c r="D186">
        <v>0.79810000000000003</v>
      </c>
      <c r="E186">
        <v>0.74509999999999998</v>
      </c>
      <c r="F186">
        <v>0.63039999999999996</v>
      </c>
      <c r="G186">
        <v>0.78759999999999997</v>
      </c>
      <c r="H186">
        <v>0.74790000000000001</v>
      </c>
    </row>
    <row r="187" spans="1:8" x14ac:dyDescent="0.3">
      <c r="A187" s="1" t="s">
        <v>546</v>
      </c>
      <c r="B187" s="1" t="s">
        <v>738</v>
      </c>
      <c r="C187">
        <v>0.626</v>
      </c>
      <c r="D187">
        <v>0.64910000000000001</v>
      </c>
      <c r="E187">
        <v>0.84099999999999997</v>
      </c>
      <c r="F187">
        <v>0.61750000000000005</v>
      </c>
      <c r="G187">
        <v>0.64359999999999995</v>
      </c>
      <c r="H187">
        <v>0.81699999999999995</v>
      </c>
    </row>
    <row r="188" spans="1:8" x14ac:dyDescent="0.3">
      <c r="A188" s="1" t="s">
        <v>474</v>
      </c>
      <c r="B188" s="1" t="s">
        <v>424</v>
      </c>
      <c r="C188">
        <v>0.62419999999999998</v>
      </c>
      <c r="D188">
        <v>0.5746</v>
      </c>
      <c r="E188">
        <v>0.7712</v>
      </c>
      <c r="F188">
        <v>0.64349999999999996</v>
      </c>
      <c r="G188">
        <v>0.60109999999999997</v>
      </c>
      <c r="H188">
        <v>0.78390000000000004</v>
      </c>
    </row>
    <row r="189" spans="1:8" x14ac:dyDescent="0.3">
      <c r="A189" s="1" t="s">
        <v>723</v>
      </c>
      <c r="B189" s="1" t="s">
        <v>737</v>
      </c>
      <c r="C189">
        <v>0.62350000000000005</v>
      </c>
      <c r="D189">
        <v>0.64870000000000005</v>
      </c>
      <c r="E189">
        <v>0.58130000000000004</v>
      </c>
      <c r="F189">
        <v>0.59119999999999995</v>
      </c>
      <c r="G189">
        <v>0.62450000000000006</v>
      </c>
      <c r="H189">
        <v>0.60580000000000001</v>
      </c>
    </row>
    <row r="190" spans="1:8" x14ac:dyDescent="0.3">
      <c r="A190" s="1" t="s">
        <v>731</v>
      </c>
      <c r="B190" s="1" t="s">
        <v>389</v>
      </c>
      <c r="C190">
        <v>0.61570000000000003</v>
      </c>
      <c r="D190">
        <v>0.60599999999999998</v>
      </c>
      <c r="E190">
        <v>0.63119999999999998</v>
      </c>
      <c r="F190">
        <v>0.66739999999999999</v>
      </c>
      <c r="G190">
        <v>0.63690000000000002</v>
      </c>
      <c r="H190">
        <v>0.67679999999999996</v>
      </c>
    </row>
    <row r="191" spans="1:8" x14ac:dyDescent="0.3">
      <c r="A191" s="1" t="s">
        <v>412</v>
      </c>
      <c r="B191" s="1" t="s">
        <v>401</v>
      </c>
      <c r="C191">
        <v>0.6139</v>
      </c>
      <c r="D191">
        <v>0.62</v>
      </c>
      <c r="E191">
        <v>0.74070000000000003</v>
      </c>
      <c r="F191">
        <v>0.66049999999999998</v>
      </c>
      <c r="G191">
        <v>0.64759999999999995</v>
      </c>
      <c r="H191">
        <v>0.77790000000000004</v>
      </c>
    </row>
    <row r="192" spans="1:8" x14ac:dyDescent="0.3">
      <c r="A192" s="1" t="s">
        <v>467</v>
      </c>
      <c r="B192" s="1" t="s">
        <v>427</v>
      </c>
      <c r="C192">
        <v>0.60799999999999998</v>
      </c>
      <c r="D192">
        <v>0.74180000000000001</v>
      </c>
      <c r="E192">
        <v>0.70130000000000003</v>
      </c>
      <c r="F192">
        <v>0.63990000000000002</v>
      </c>
      <c r="G192">
        <v>0.77359999999999995</v>
      </c>
      <c r="H192">
        <v>0.71850000000000003</v>
      </c>
    </row>
    <row r="193" spans="1:8" x14ac:dyDescent="0.3">
      <c r="A193" s="1" t="s">
        <v>475</v>
      </c>
      <c r="B193" s="1" t="s">
        <v>428</v>
      </c>
      <c r="C193">
        <v>0.60799999999999998</v>
      </c>
      <c r="D193">
        <v>0.7097</v>
      </c>
      <c r="E193">
        <v>0.69199999999999995</v>
      </c>
      <c r="F193">
        <v>0.62160000000000004</v>
      </c>
      <c r="G193">
        <v>0.73819999999999997</v>
      </c>
      <c r="H193">
        <v>0.70189999999999997</v>
      </c>
    </row>
    <row r="194" spans="1:8" x14ac:dyDescent="0.3">
      <c r="A194" s="1" t="s">
        <v>587</v>
      </c>
      <c r="B194" s="1" t="s">
        <v>737</v>
      </c>
      <c r="C194">
        <v>0.60619999999999996</v>
      </c>
      <c r="D194">
        <v>0.84230000000000005</v>
      </c>
      <c r="E194">
        <v>0.8508</v>
      </c>
      <c r="F194">
        <v>0.64929999999999999</v>
      </c>
      <c r="G194">
        <v>0.90380000000000005</v>
      </c>
      <c r="H194">
        <v>0.876</v>
      </c>
    </row>
    <row r="195" spans="1:8" x14ac:dyDescent="0.3">
      <c r="A195" s="1" t="s">
        <v>581</v>
      </c>
      <c r="B195" s="1" t="s">
        <v>392</v>
      </c>
      <c r="C195">
        <v>0.60440000000000005</v>
      </c>
      <c r="D195">
        <v>0.60329999999999995</v>
      </c>
      <c r="E195">
        <v>0.67730000000000001</v>
      </c>
      <c r="F195">
        <v>0.64690000000000003</v>
      </c>
      <c r="G195">
        <v>0.64170000000000005</v>
      </c>
      <c r="H195">
        <v>0.69220000000000004</v>
      </c>
    </row>
    <row r="196" spans="1:8" x14ac:dyDescent="0.3">
      <c r="A196" s="1" t="s">
        <v>710</v>
      </c>
      <c r="B196" s="1" t="s">
        <v>424</v>
      </c>
      <c r="C196">
        <v>0.60370000000000001</v>
      </c>
      <c r="D196">
        <v>0.62119999999999997</v>
      </c>
      <c r="E196">
        <v>0.65249999999999997</v>
      </c>
      <c r="F196">
        <v>0.62</v>
      </c>
      <c r="G196">
        <v>0.63339999999999996</v>
      </c>
      <c r="H196">
        <v>0.67589999999999995</v>
      </c>
    </row>
    <row r="197" spans="1:8" x14ac:dyDescent="0.3">
      <c r="A197" s="1" t="s">
        <v>700</v>
      </c>
      <c r="B197" s="1" t="s">
        <v>740</v>
      </c>
      <c r="C197">
        <v>0.59630000000000005</v>
      </c>
      <c r="D197">
        <v>0.72019999999999995</v>
      </c>
      <c r="E197">
        <v>0.81499999999999995</v>
      </c>
      <c r="F197">
        <v>0.59299999999999997</v>
      </c>
      <c r="G197">
        <v>0.68710000000000004</v>
      </c>
      <c r="H197">
        <v>0.76170000000000004</v>
      </c>
    </row>
    <row r="198" spans="1:8" x14ac:dyDescent="0.3">
      <c r="A198" s="1" t="s">
        <v>329</v>
      </c>
      <c r="B198" s="1" t="s">
        <v>251</v>
      </c>
      <c r="C198">
        <v>0.59550000000000003</v>
      </c>
      <c r="D198">
        <v>0.74199999999999999</v>
      </c>
      <c r="E198">
        <v>0.81659999999999999</v>
      </c>
      <c r="F198">
        <v>0.61599999999999999</v>
      </c>
      <c r="G198">
        <v>0.75790000000000002</v>
      </c>
      <c r="H198">
        <v>0.80479999999999996</v>
      </c>
    </row>
    <row r="199" spans="1:8" x14ac:dyDescent="0.3">
      <c r="A199" s="1" t="s">
        <v>466</v>
      </c>
      <c r="B199" s="1" t="s">
        <v>381</v>
      </c>
      <c r="C199">
        <v>0.58420000000000005</v>
      </c>
      <c r="D199">
        <v>0.61250000000000004</v>
      </c>
      <c r="E199">
        <v>0.76519999999999999</v>
      </c>
      <c r="F199">
        <v>0.55159999999999998</v>
      </c>
      <c r="G199">
        <v>0.57240000000000002</v>
      </c>
      <c r="H199">
        <v>0.75209999999999999</v>
      </c>
    </row>
    <row r="200" spans="1:8" x14ac:dyDescent="0.3">
      <c r="A200" s="1" t="s">
        <v>585</v>
      </c>
      <c r="B200" s="1" t="s">
        <v>737</v>
      </c>
      <c r="C200">
        <v>0.58120000000000005</v>
      </c>
      <c r="D200">
        <v>0.82020000000000004</v>
      </c>
      <c r="E200">
        <v>0.78269999999999995</v>
      </c>
      <c r="F200">
        <v>0.60770000000000002</v>
      </c>
      <c r="G200">
        <v>0.8236</v>
      </c>
      <c r="H200">
        <v>0.76929999999999998</v>
      </c>
    </row>
    <row r="201" spans="1:8" x14ac:dyDescent="0.3">
      <c r="A201" s="1" t="s">
        <v>469</v>
      </c>
      <c r="B201" s="1" t="s">
        <v>738</v>
      </c>
      <c r="C201">
        <v>0.57399999999999995</v>
      </c>
      <c r="D201">
        <v>0.77239999999999998</v>
      </c>
      <c r="E201">
        <v>0.77239999999999998</v>
      </c>
      <c r="F201">
        <v>0.58240000000000003</v>
      </c>
      <c r="G201">
        <v>0.76749999999999996</v>
      </c>
      <c r="H201">
        <v>0.76749999999999996</v>
      </c>
    </row>
    <row r="202" spans="1:8" x14ac:dyDescent="0.3">
      <c r="A202" s="1" t="s">
        <v>525</v>
      </c>
      <c r="B202" s="1" t="s">
        <v>383</v>
      </c>
      <c r="C202">
        <v>0.57169999999999999</v>
      </c>
      <c r="D202">
        <v>0.62729999999999997</v>
      </c>
      <c r="E202">
        <v>0.66290000000000004</v>
      </c>
      <c r="F202">
        <v>0.56689999999999996</v>
      </c>
      <c r="G202">
        <v>0.62409999999999999</v>
      </c>
      <c r="H202">
        <v>0.68149999999999999</v>
      </c>
    </row>
    <row r="203" spans="1:8" x14ac:dyDescent="0.3">
      <c r="A203" s="1" t="s">
        <v>518</v>
      </c>
      <c r="B203" s="1" t="s">
        <v>381</v>
      </c>
      <c r="C203">
        <v>0.56179999999999997</v>
      </c>
      <c r="D203">
        <v>0.60189999999999999</v>
      </c>
      <c r="E203">
        <v>0.71599999999999997</v>
      </c>
      <c r="F203">
        <v>0.63519999999999999</v>
      </c>
      <c r="G203">
        <v>0.67130000000000001</v>
      </c>
      <c r="H203">
        <v>0.76470000000000005</v>
      </c>
    </row>
    <row r="204" spans="1:8" x14ac:dyDescent="0.3">
      <c r="A204" s="1" t="s">
        <v>650</v>
      </c>
      <c r="B204" s="1" t="s">
        <v>381</v>
      </c>
      <c r="C204">
        <v>0.54410000000000003</v>
      </c>
      <c r="D204">
        <v>0.54410000000000003</v>
      </c>
      <c r="E204">
        <v>0.54410000000000003</v>
      </c>
      <c r="F204">
        <v>0.57809999999999995</v>
      </c>
      <c r="G204">
        <v>0.57809999999999995</v>
      </c>
      <c r="H204">
        <v>0.57809999999999995</v>
      </c>
    </row>
    <row r="205" spans="1:8" x14ac:dyDescent="0.3">
      <c r="A205" s="1" t="s">
        <v>415</v>
      </c>
      <c r="B205" s="1" t="s">
        <v>389</v>
      </c>
      <c r="C205">
        <v>0.54400000000000004</v>
      </c>
      <c r="D205">
        <v>0.60299999999999998</v>
      </c>
      <c r="E205">
        <v>0.54420000000000002</v>
      </c>
      <c r="F205">
        <v>0.52070000000000005</v>
      </c>
      <c r="G205">
        <v>0.61140000000000005</v>
      </c>
      <c r="H205">
        <v>0.56100000000000005</v>
      </c>
    </row>
    <row r="206" spans="1:8" x14ac:dyDescent="0.3">
      <c r="A206" s="1" t="s">
        <v>708</v>
      </c>
      <c r="B206" s="1" t="s">
        <v>383</v>
      </c>
      <c r="C206">
        <v>0.54300000000000004</v>
      </c>
      <c r="D206">
        <v>0.54279999999999995</v>
      </c>
      <c r="E206">
        <v>0.59009999999999996</v>
      </c>
      <c r="F206">
        <v>0.54800000000000004</v>
      </c>
      <c r="G206">
        <v>0.57509999999999994</v>
      </c>
      <c r="H206">
        <v>0.61240000000000006</v>
      </c>
    </row>
    <row r="207" spans="1:8" x14ac:dyDescent="0.3">
      <c r="A207" s="1" t="s">
        <v>539</v>
      </c>
      <c r="B207" s="1" t="s">
        <v>401</v>
      </c>
      <c r="C207">
        <v>0.5403</v>
      </c>
      <c r="D207">
        <v>0.77190000000000003</v>
      </c>
      <c r="E207">
        <v>0.70199999999999996</v>
      </c>
      <c r="F207">
        <v>0.71940000000000004</v>
      </c>
      <c r="G207">
        <v>0.89680000000000004</v>
      </c>
      <c r="H207">
        <v>0.77749999999999997</v>
      </c>
    </row>
    <row r="208" spans="1:8" x14ac:dyDescent="0.3">
      <c r="A208" s="1" t="s">
        <v>346</v>
      </c>
      <c r="B208" s="1" t="s">
        <v>251</v>
      </c>
      <c r="C208">
        <v>0.51180000000000003</v>
      </c>
      <c r="D208">
        <v>0.53349999999999997</v>
      </c>
      <c r="E208">
        <v>0.62129999999999996</v>
      </c>
      <c r="F208">
        <v>0.54320000000000002</v>
      </c>
      <c r="G208">
        <v>0.54949999999999999</v>
      </c>
      <c r="H208">
        <v>0.66320000000000001</v>
      </c>
    </row>
    <row r="209" spans="1:8" x14ac:dyDescent="0.3">
      <c r="A209" s="1" t="s">
        <v>716</v>
      </c>
      <c r="B209" s="1" t="s">
        <v>427</v>
      </c>
      <c r="C209">
        <v>0.49059999999999998</v>
      </c>
      <c r="D209">
        <v>0.4294</v>
      </c>
      <c r="E209">
        <v>0.62749999999999995</v>
      </c>
      <c r="F209">
        <v>0.56140000000000001</v>
      </c>
      <c r="G209">
        <v>0.4894</v>
      </c>
      <c r="H209">
        <v>0.64670000000000005</v>
      </c>
    </row>
    <row r="210" spans="1:8" x14ac:dyDescent="0.3">
      <c r="A210" s="1" t="s">
        <v>563</v>
      </c>
      <c r="B210" s="1" t="s">
        <v>427</v>
      </c>
      <c r="C210">
        <v>0.48959999999999998</v>
      </c>
      <c r="D210">
        <v>0.626</v>
      </c>
      <c r="E210">
        <v>0.80479999999999996</v>
      </c>
      <c r="F210">
        <v>0.52129999999999999</v>
      </c>
      <c r="G210">
        <v>0.65680000000000005</v>
      </c>
      <c r="H210">
        <v>0.85509999999999997</v>
      </c>
    </row>
    <row r="211" spans="1:8" x14ac:dyDescent="0.3">
      <c r="A211" s="1" t="s">
        <v>664</v>
      </c>
      <c r="B211" s="1" t="s">
        <v>738</v>
      </c>
      <c r="C211">
        <v>0.4884</v>
      </c>
      <c r="D211">
        <v>0.66610000000000003</v>
      </c>
      <c r="E211">
        <v>0.69169999999999998</v>
      </c>
      <c r="F211">
        <v>0.48299999999999998</v>
      </c>
      <c r="G211">
        <v>0.69299999999999995</v>
      </c>
      <c r="H211">
        <v>0.73429999999999995</v>
      </c>
    </row>
    <row r="212" spans="1:8" x14ac:dyDescent="0.3">
      <c r="A212" s="1" t="s">
        <v>390</v>
      </c>
      <c r="B212" s="1" t="s">
        <v>383</v>
      </c>
      <c r="C212">
        <v>0.48770000000000002</v>
      </c>
      <c r="D212">
        <v>0.61119999999999997</v>
      </c>
      <c r="E212">
        <v>0.61119999999999997</v>
      </c>
      <c r="F212">
        <v>0.53469999999999995</v>
      </c>
      <c r="G212">
        <v>0.63649999999999995</v>
      </c>
      <c r="H212">
        <v>0.63649999999999995</v>
      </c>
    </row>
    <row r="213" spans="1:8" x14ac:dyDescent="0.3">
      <c r="A213" s="1" t="s">
        <v>351</v>
      </c>
      <c r="B213" s="1" t="s">
        <v>257</v>
      </c>
      <c r="C213">
        <v>0.48570000000000002</v>
      </c>
      <c r="D213">
        <v>0.64049999999999996</v>
      </c>
      <c r="E213">
        <v>0.76680000000000004</v>
      </c>
      <c r="F213">
        <v>0.62560000000000004</v>
      </c>
      <c r="G213">
        <v>0.71</v>
      </c>
      <c r="H213">
        <v>0.7702</v>
      </c>
    </row>
    <row r="214" spans="1:8" x14ac:dyDescent="0.3">
      <c r="A214" s="1" t="s">
        <v>719</v>
      </c>
      <c r="B214" s="1" t="s">
        <v>389</v>
      </c>
      <c r="C214">
        <v>0.47</v>
      </c>
      <c r="D214">
        <v>0.54959999999999998</v>
      </c>
      <c r="E214">
        <v>0.74519999999999997</v>
      </c>
      <c r="F214">
        <v>0.49249999999999999</v>
      </c>
      <c r="G214">
        <v>0.57340000000000002</v>
      </c>
      <c r="H214">
        <v>0.74560000000000004</v>
      </c>
    </row>
    <row r="215" spans="1:8" x14ac:dyDescent="0.3">
      <c r="A215" s="1" t="s">
        <v>522</v>
      </c>
      <c r="B215" s="1" t="s">
        <v>385</v>
      </c>
      <c r="C215">
        <v>0.45150000000000001</v>
      </c>
      <c r="D215">
        <v>0.62629999999999997</v>
      </c>
      <c r="E215">
        <v>0.64929999999999999</v>
      </c>
      <c r="F215">
        <v>0.41920000000000002</v>
      </c>
      <c r="G215">
        <v>0.62919999999999998</v>
      </c>
      <c r="H215">
        <v>0.6532</v>
      </c>
    </row>
    <row r="216" spans="1:8" x14ac:dyDescent="0.3">
      <c r="A216" s="1" t="s">
        <v>384</v>
      </c>
      <c r="B216" s="1" t="s">
        <v>385</v>
      </c>
      <c r="C216">
        <v>0.44600000000000001</v>
      </c>
      <c r="D216">
        <v>0.59670000000000001</v>
      </c>
      <c r="E216">
        <v>0.63549999999999995</v>
      </c>
      <c r="F216">
        <v>0.4924</v>
      </c>
      <c r="G216">
        <v>0.626</v>
      </c>
      <c r="H216">
        <v>0.6573</v>
      </c>
    </row>
    <row r="217" spans="1:8" x14ac:dyDescent="0.3">
      <c r="A217" s="1" t="s">
        <v>471</v>
      </c>
      <c r="B217" s="1" t="s">
        <v>388</v>
      </c>
      <c r="C217">
        <v>0.42620000000000002</v>
      </c>
      <c r="D217">
        <v>0.57279999999999998</v>
      </c>
      <c r="E217">
        <v>0.7248</v>
      </c>
      <c r="F217">
        <v>0.4415</v>
      </c>
      <c r="G217">
        <v>0.59740000000000004</v>
      </c>
      <c r="H217">
        <v>0.73839999999999995</v>
      </c>
    </row>
    <row r="218" spans="1:8" x14ac:dyDescent="0.3">
      <c r="A218" s="1" t="s">
        <v>744</v>
      </c>
      <c r="B218" s="1" t="s">
        <v>737</v>
      </c>
      <c r="C218">
        <v>0.39900000000000002</v>
      </c>
      <c r="D218">
        <v>0.39900000000000002</v>
      </c>
      <c r="E218">
        <v>0.39900000000000002</v>
      </c>
      <c r="F218">
        <v>0.43640000000000001</v>
      </c>
      <c r="G218">
        <v>0.43640000000000001</v>
      </c>
      <c r="H218">
        <v>0.43640000000000001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09CD-BD6D-4BB1-BADF-1771A5FB1836}">
  <sheetPr codeName="Sheet4"/>
  <dimension ref="A1:R247"/>
  <sheetViews>
    <sheetView workbookViewId="0">
      <selection activeCell="B16" sqref="B16"/>
    </sheetView>
  </sheetViews>
  <sheetFormatPr defaultRowHeight="14.4" x14ac:dyDescent="0.3"/>
  <cols>
    <col min="1" max="1" width="45.5546875" bestFit="1" customWidth="1"/>
    <col min="2" max="3" width="20.6640625" bestFit="1" customWidth="1"/>
    <col min="4" max="4" width="12.77734375" bestFit="1" customWidth="1"/>
    <col min="5" max="5" width="17.21875" bestFit="1" customWidth="1"/>
    <col min="6" max="6" width="18.77734375" bestFit="1" customWidth="1"/>
    <col min="7" max="7" width="20.44140625" bestFit="1" customWidth="1"/>
    <col min="8" max="8" width="6.77734375" bestFit="1" customWidth="1"/>
    <col min="9" max="9" width="8.88671875" bestFit="1" customWidth="1"/>
    <col min="10" max="10" width="7.6640625" bestFit="1" customWidth="1"/>
    <col min="11" max="11" width="6.77734375" bestFit="1" customWidth="1"/>
    <col min="12" max="12" width="9.5546875" bestFit="1" customWidth="1"/>
    <col min="13" max="14" width="9.33203125" bestFit="1" customWidth="1"/>
    <col min="15" max="15" width="9.77734375" bestFit="1" customWidth="1"/>
    <col min="16" max="16" width="17.88671875" bestFit="1" customWidth="1"/>
    <col min="17" max="17" width="19" customWidth="1"/>
    <col min="18" max="19" width="11.77734375" bestFit="1" customWidth="1"/>
  </cols>
  <sheetData>
    <row r="1" spans="1:18" x14ac:dyDescent="0.3">
      <c r="A1" t="s">
        <v>112</v>
      </c>
      <c r="B1" t="s">
        <v>113</v>
      </c>
      <c r="C1" t="s">
        <v>114</v>
      </c>
      <c r="D1" t="s">
        <v>115</v>
      </c>
      <c r="E1" t="s">
        <v>193</v>
      </c>
      <c r="F1" t="s">
        <v>194</v>
      </c>
      <c r="G1" t="s">
        <v>116</v>
      </c>
      <c r="H1" t="s">
        <v>117</v>
      </c>
      <c r="I1" t="s">
        <v>118</v>
      </c>
      <c r="J1" t="s">
        <v>119</v>
      </c>
      <c r="K1" t="s">
        <v>120</v>
      </c>
      <c r="L1" t="s">
        <v>121</v>
      </c>
      <c r="M1" t="s">
        <v>122</v>
      </c>
      <c r="N1" t="s">
        <v>123</v>
      </c>
      <c r="O1" t="s">
        <v>124</v>
      </c>
      <c r="P1" t="s">
        <v>125</v>
      </c>
      <c r="Q1" t="s">
        <v>126</v>
      </c>
      <c r="R1" t="s">
        <v>127</v>
      </c>
    </row>
    <row r="2" spans="1:18" x14ac:dyDescent="0.3">
      <c r="A2" s="1" t="s">
        <v>745</v>
      </c>
      <c r="B2" s="1" t="s">
        <v>181</v>
      </c>
      <c r="C2" s="1" t="s">
        <v>746</v>
      </c>
      <c r="D2" s="1" t="s">
        <v>747</v>
      </c>
      <c r="E2" s="1" t="s">
        <v>14</v>
      </c>
      <c r="F2" s="1" t="s">
        <v>16</v>
      </c>
      <c r="G2">
        <v>2</v>
      </c>
      <c r="H2" s="1" t="s">
        <v>389</v>
      </c>
      <c r="I2" s="1" t="s">
        <v>388</v>
      </c>
      <c r="J2">
        <v>18</v>
      </c>
      <c r="K2">
        <v>-4</v>
      </c>
      <c r="L2">
        <v>231</v>
      </c>
      <c r="M2">
        <v>117.5</v>
      </c>
      <c r="N2">
        <v>45.5</v>
      </c>
      <c r="O2">
        <v>60.3</v>
      </c>
      <c r="P2">
        <v>77.8</v>
      </c>
      <c r="Q2">
        <v>55.2</v>
      </c>
      <c r="R2">
        <v>4.88</v>
      </c>
    </row>
    <row r="3" spans="1:18" x14ac:dyDescent="0.3">
      <c r="A3" s="1" t="s">
        <v>748</v>
      </c>
      <c r="B3" s="1" t="s">
        <v>749</v>
      </c>
      <c r="C3" s="1" t="s">
        <v>750</v>
      </c>
      <c r="D3" s="1" t="s">
        <v>751</v>
      </c>
      <c r="E3" s="1" t="s">
        <v>18</v>
      </c>
      <c r="F3" s="1"/>
      <c r="G3">
        <v>1</v>
      </c>
      <c r="H3" s="1" t="s">
        <v>381</v>
      </c>
      <c r="I3" s="1" t="s">
        <v>382</v>
      </c>
      <c r="J3">
        <v>9</v>
      </c>
      <c r="K3">
        <v>-5.5</v>
      </c>
      <c r="L3">
        <v>225</v>
      </c>
      <c r="M3">
        <v>115.3</v>
      </c>
      <c r="N3">
        <v>43</v>
      </c>
      <c r="O3">
        <v>55.1</v>
      </c>
      <c r="P3">
        <v>67</v>
      </c>
      <c r="Q3">
        <v>52.8</v>
      </c>
      <c r="R3">
        <v>4.84</v>
      </c>
    </row>
    <row r="4" spans="1:18" x14ac:dyDescent="0.3">
      <c r="A4" s="1" t="s">
        <v>752</v>
      </c>
      <c r="B4" s="1" t="s">
        <v>162</v>
      </c>
      <c r="C4" s="1" t="s">
        <v>753</v>
      </c>
      <c r="D4" s="1" t="s">
        <v>754</v>
      </c>
      <c r="E4" s="1" t="s">
        <v>14</v>
      </c>
      <c r="F4" s="1" t="s">
        <v>16</v>
      </c>
      <c r="G4">
        <v>1</v>
      </c>
      <c r="H4" s="1" t="s">
        <v>398</v>
      </c>
      <c r="I4" s="1" t="s">
        <v>251</v>
      </c>
      <c r="J4">
        <v>1</v>
      </c>
      <c r="K4">
        <v>2</v>
      </c>
      <c r="L4">
        <v>235.5</v>
      </c>
      <c r="M4">
        <v>116.8</v>
      </c>
      <c r="N4">
        <v>50.8</v>
      </c>
      <c r="O4">
        <v>54.9</v>
      </c>
      <c r="P4">
        <v>59.1</v>
      </c>
      <c r="Q4">
        <v>51.7</v>
      </c>
      <c r="R4">
        <v>4.7</v>
      </c>
    </row>
    <row r="5" spans="1:18" x14ac:dyDescent="0.3">
      <c r="A5" s="1" t="s">
        <v>755</v>
      </c>
      <c r="B5" s="1" t="s">
        <v>176</v>
      </c>
      <c r="C5" s="1" t="s">
        <v>756</v>
      </c>
      <c r="D5" s="1" t="s">
        <v>757</v>
      </c>
      <c r="E5" s="1" t="s">
        <v>21</v>
      </c>
      <c r="F5" s="1" t="s">
        <v>13</v>
      </c>
      <c r="G5">
        <v>2</v>
      </c>
      <c r="H5" s="1" t="s">
        <v>397</v>
      </c>
      <c r="I5" s="1" t="s">
        <v>396</v>
      </c>
      <c r="J5">
        <v>5</v>
      </c>
      <c r="K5">
        <v>-2.5</v>
      </c>
      <c r="L5">
        <v>204.5</v>
      </c>
      <c r="M5">
        <v>103.5</v>
      </c>
      <c r="N5">
        <v>35.799999999999997</v>
      </c>
      <c r="O5">
        <v>50.9</v>
      </c>
      <c r="P5">
        <v>62.1</v>
      </c>
      <c r="Q5">
        <v>47.7</v>
      </c>
      <c r="R5">
        <v>4.54</v>
      </c>
    </row>
    <row r="6" spans="1:18" x14ac:dyDescent="0.3">
      <c r="A6" s="1" t="s">
        <v>758</v>
      </c>
      <c r="B6" s="1" t="s">
        <v>129</v>
      </c>
      <c r="C6" s="1" t="s">
        <v>759</v>
      </c>
      <c r="D6" s="1" t="s">
        <v>760</v>
      </c>
      <c r="E6" s="1" t="s">
        <v>21</v>
      </c>
      <c r="F6" s="1" t="s">
        <v>13</v>
      </c>
      <c r="G6">
        <v>1</v>
      </c>
      <c r="H6" s="1" t="s">
        <v>408</v>
      </c>
      <c r="I6" s="1" t="s">
        <v>401</v>
      </c>
      <c r="J6">
        <v>6</v>
      </c>
      <c r="K6">
        <v>-7</v>
      </c>
      <c r="L6">
        <v>233.5</v>
      </c>
      <c r="M6">
        <v>120.3</v>
      </c>
      <c r="N6">
        <v>42.3</v>
      </c>
      <c r="O6">
        <v>50.4</v>
      </c>
      <c r="P6">
        <v>55.8</v>
      </c>
      <c r="Q6">
        <v>46.9</v>
      </c>
      <c r="R6">
        <v>4.59</v>
      </c>
    </row>
    <row r="7" spans="1:18" x14ac:dyDescent="0.3">
      <c r="A7" s="1" t="s">
        <v>761</v>
      </c>
      <c r="B7" s="1" t="s">
        <v>128</v>
      </c>
      <c r="C7" s="1" t="s">
        <v>762</v>
      </c>
      <c r="D7" s="1" t="s">
        <v>249</v>
      </c>
      <c r="E7" s="1" t="s">
        <v>13</v>
      </c>
      <c r="F7" s="1" t="s">
        <v>21</v>
      </c>
      <c r="G7">
        <v>2</v>
      </c>
      <c r="H7" s="1" t="s">
        <v>398</v>
      </c>
      <c r="I7" s="1" t="s">
        <v>251</v>
      </c>
      <c r="J7">
        <v>13</v>
      </c>
      <c r="K7">
        <v>2</v>
      </c>
      <c r="L7">
        <v>235.5</v>
      </c>
      <c r="M7">
        <v>116.8</v>
      </c>
      <c r="N7">
        <v>35</v>
      </c>
      <c r="O7">
        <v>45.3</v>
      </c>
      <c r="P7">
        <v>66.900000000000006</v>
      </c>
      <c r="Q7">
        <v>46.8</v>
      </c>
      <c r="R7">
        <v>4.78</v>
      </c>
    </row>
    <row r="8" spans="1:18" x14ac:dyDescent="0.3">
      <c r="A8" s="1" t="s">
        <v>763</v>
      </c>
      <c r="B8" s="1" t="s">
        <v>764</v>
      </c>
      <c r="C8" s="1" t="s">
        <v>765</v>
      </c>
      <c r="D8" s="1" t="s">
        <v>255</v>
      </c>
      <c r="E8" s="1" t="s">
        <v>21</v>
      </c>
      <c r="F8" s="1"/>
      <c r="G8">
        <v>2</v>
      </c>
      <c r="H8" s="1" t="s">
        <v>424</v>
      </c>
      <c r="I8" s="1" t="s">
        <v>410</v>
      </c>
      <c r="J8">
        <v>24</v>
      </c>
      <c r="K8">
        <v>-3</v>
      </c>
      <c r="L8">
        <v>223</v>
      </c>
      <c r="M8">
        <v>113</v>
      </c>
      <c r="N8">
        <v>39.1</v>
      </c>
      <c r="O8">
        <v>52.4</v>
      </c>
      <c r="P8">
        <v>77.8</v>
      </c>
      <c r="Q8">
        <v>46.6</v>
      </c>
      <c r="R8">
        <v>4.7</v>
      </c>
    </row>
    <row r="9" spans="1:18" x14ac:dyDescent="0.3">
      <c r="A9" s="1" t="s">
        <v>766</v>
      </c>
      <c r="B9" s="1" t="s">
        <v>129</v>
      </c>
      <c r="C9" s="1" t="s">
        <v>767</v>
      </c>
      <c r="D9" s="1" t="s">
        <v>256</v>
      </c>
      <c r="E9" s="1" t="s">
        <v>13</v>
      </c>
      <c r="F9" s="1" t="s">
        <v>21</v>
      </c>
      <c r="G9">
        <v>1</v>
      </c>
      <c r="H9" s="1" t="s">
        <v>427</v>
      </c>
      <c r="I9" s="1" t="s">
        <v>428</v>
      </c>
      <c r="J9">
        <v>17</v>
      </c>
      <c r="K9">
        <v>-5.5</v>
      </c>
      <c r="L9">
        <v>222.5</v>
      </c>
      <c r="M9">
        <v>114</v>
      </c>
      <c r="N9">
        <v>24.9</v>
      </c>
      <c r="O9">
        <v>42.4</v>
      </c>
      <c r="P9">
        <v>52.9</v>
      </c>
      <c r="Q9">
        <v>43.3</v>
      </c>
      <c r="R9">
        <v>5.0999999999999996</v>
      </c>
    </row>
    <row r="10" spans="1:18" x14ac:dyDescent="0.3">
      <c r="A10" s="1" t="s">
        <v>768</v>
      </c>
      <c r="B10" s="1" t="s">
        <v>129</v>
      </c>
      <c r="C10" s="1" t="s">
        <v>769</v>
      </c>
      <c r="D10" s="1" t="s">
        <v>770</v>
      </c>
      <c r="E10" s="1" t="s">
        <v>16</v>
      </c>
      <c r="F10" s="1" t="s">
        <v>18</v>
      </c>
      <c r="G10">
        <v>1</v>
      </c>
      <c r="H10" s="1" t="s">
        <v>392</v>
      </c>
      <c r="I10" s="1" t="s">
        <v>385</v>
      </c>
      <c r="J10">
        <v>26</v>
      </c>
      <c r="K10">
        <v>2</v>
      </c>
      <c r="L10">
        <v>211</v>
      </c>
      <c r="M10">
        <v>104.5</v>
      </c>
      <c r="N10">
        <v>27.6</v>
      </c>
      <c r="O10">
        <v>49.8</v>
      </c>
      <c r="P10">
        <v>58.1</v>
      </c>
      <c r="Q10">
        <v>42.7</v>
      </c>
      <c r="R10">
        <v>4.1399999999999997</v>
      </c>
    </row>
    <row r="11" spans="1:18" x14ac:dyDescent="0.3">
      <c r="A11" s="1" t="s">
        <v>771</v>
      </c>
      <c r="B11" s="1" t="s">
        <v>772</v>
      </c>
      <c r="C11" s="1" t="s">
        <v>200</v>
      </c>
      <c r="D11" s="1" t="s">
        <v>133</v>
      </c>
      <c r="E11" s="1" t="s">
        <v>21</v>
      </c>
      <c r="F11" s="1"/>
      <c r="G11">
        <v>1</v>
      </c>
      <c r="H11" s="1" t="s">
        <v>382</v>
      </c>
      <c r="I11" s="1" t="s">
        <v>381</v>
      </c>
      <c r="J11">
        <v>4</v>
      </c>
      <c r="K11">
        <v>5.5</v>
      </c>
      <c r="L11">
        <v>225</v>
      </c>
      <c r="M11">
        <v>109.8</v>
      </c>
      <c r="N11">
        <v>23.8</v>
      </c>
      <c r="O11">
        <v>32.4</v>
      </c>
      <c r="P11">
        <v>42.8</v>
      </c>
      <c r="Q11">
        <v>42.5</v>
      </c>
      <c r="R11">
        <v>5.32</v>
      </c>
    </row>
    <row r="12" spans="1:18" x14ac:dyDescent="0.3">
      <c r="A12" s="1" t="s">
        <v>773</v>
      </c>
      <c r="B12" s="1" t="s">
        <v>142</v>
      </c>
      <c r="C12" s="1" t="s">
        <v>774</v>
      </c>
      <c r="D12" s="1" t="s">
        <v>775</v>
      </c>
      <c r="E12" s="1" t="s">
        <v>21</v>
      </c>
      <c r="F12" s="1"/>
      <c r="G12">
        <v>2</v>
      </c>
      <c r="H12" s="1" t="s">
        <v>389</v>
      </c>
      <c r="I12" s="1" t="s">
        <v>388</v>
      </c>
      <c r="J12">
        <v>18</v>
      </c>
      <c r="K12">
        <v>-4</v>
      </c>
      <c r="L12">
        <v>231</v>
      </c>
      <c r="M12">
        <v>117.5</v>
      </c>
      <c r="N12">
        <v>26.4</v>
      </c>
      <c r="O12">
        <v>36</v>
      </c>
      <c r="P12">
        <v>50.6</v>
      </c>
      <c r="Q12">
        <v>42.4</v>
      </c>
      <c r="R12">
        <v>5.04</v>
      </c>
    </row>
    <row r="13" spans="1:18" x14ac:dyDescent="0.3">
      <c r="A13" s="1" t="s">
        <v>776</v>
      </c>
      <c r="B13" s="1" t="s">
        <v>128</v>
      </c>
      <c r="C13" s="1" t="s">
        <v>777</v>
      </c>
      <c r="D13" s="1" t="s">
        <v>248</v>
      </c>
      <c r="E13" s="1" t="s">
        <v>14</v>
      </c>
      <c r="F13" s="1" t="s">
        <v>16</v>
      </c>
      <c r="G13">
        <v>1</v>
      </c>
      <c r="H13" s="1" t="s">
        <v>385</v>
      </c>
      <c r="I13" s="1" t="s">
        <v>392</v>
      </c>
      <c r="J13">
        <v>15</v>
      </c>
      <c r="K13">
        <v>-2</v>
      </c>
      <c r="L13">
        <v>211</v>
      </c>
      <c r="M13">
        <v>106.5</v>
      </c>
      <c r="N13">
        <v>25.1</v>
      </c>
      <c r="O13">
        <v>41.9</v>
      </c>
      <c r="P13">
        <v>63.7</v>
      </c>
      <c r="Q13">
        <v>42.1</v>
      </c>
      <c r="R13">
        <v>4.34</v>
      </c>
    </row>
    <row r="14" spans="1:18" x14ac:dyDescent="0.3">
      <c r="A14" s="1" t="s">
        <v>778</v>
      </c>
      <c r="B14" s="1" t="s">
        <v>246</v>
      </c>
      <c r="C14" s="1" t="s">
        <v>250</v>
      </c>
      <c r="D14" s="1" t="s">
        <v>224</v>
      </c>
      <c r="E14" s="1" t="s">
        <v>18</v>
      </c>
      <c r="F14" s="1"/>
      <c r="G14">
        <v>0</v>
      </c>
      <c r="H14" s="1" t="s">
        <v>251</v>
      </c>
      <c r="I14" s="1" t="s">
        <v>398</v>
      </c>
      <c r="J14">
        <v>25</v>
      </c>
      <c r="K14">
        <v>-2</v>
      </c>
      <c r="L14">
        <v>235.5</v>
      </c>
      <c r="M14">
        <v>118.8</v>
      </c>
      <c r="N14">
        <v>29.2</v>
      </c>
      <c r="O14">
        <v>41.4</v>
      </c>
      <c r="P14">
        <v>55.3</v>
      </c>
      <c r="Q14">
        <v>42.1</v>
      </c>
      <c r="R14">
        <v>4.63</v>
      </c>
    </row>
    <row r="15" spans="1:18" x14ac:dyDescent="0.3">
      <c r="A15" s="1" t="s">
        <v>779</v>
      </c>
      <c r="B15" s="1" t="s">
        <v>129</v>
      </c>
      <c r="C15" s="1" t="s">
        <v>252</v>
      </c>
      <c r="D15" s="1" t="s">
        <v>780</v>
      </c>
      <c r="E15" s="1" t="s">
        <v>13</v>
      </c>
      <c r="F15" s="1" t="s">
        <v>14</v>
      </c>
      <c r="G15">
        <v>0</v>
      </c>
      <c r="H15" s="1" t="s">
        <v>251</v>
      </c>
      <c r="I15" s="1" t="s">
        <v>398</v>
      </c>
      <c r="J15">
        <v>30</v>
      </c>
      <c r="K15">
        <v>-2</v>
      </c>
      <c r="L15">
        <v>235.5</v>
      </c>
      <c r="M15">
        <v>118.8</v>
      </c>
      <c r="N15">
        <v>32</v>
      </c>
      <c r="O15">
        <v>38.1</v>
      </c>
      <c r="P15">
        <v>42.3</v>
      </c>
      <c r="Q15">
        <v>41</v>
      </c>
      <c r="R15">
        <v>4.9400000000000004</v>
      </c>
    </row>
    <row r="16" spans="1:18" x14ac:dyDescent="0.3">
      <c r="A16" s="1" t="s">
        <v>781</v>
      </c>
      <c r="B16" s="1" t="s">
        <v>162</v>
      </c>
      <c r="C16" s="1" t="s">
        <v>782</v>
      </c>
      <c r="D16" s="1" t="s">
        <v>199</v>
      </c>
      <c r="E16" s="1" t="s">
        <v>21</v>
      </c>
      <c r="F16" s="1" t="s">
        <v>13</v>
      </c>
      <c r="G16">
        <v>1</v>
      </c>
      <c r="H16" s="1" t="s">
        <v>398</v>
      </c>
      <c r="I16" s="1" t="s">
        <v>251</v>
      </c>
      <c r="J16">
        <v>13</v>
      </c>
      <c r="K16">
        <v>2</v>
      </c>
      <c r="L16">
        <v>235.5</v>
      </c>
      <c r="M16">
        <v>116.8</v>
      </c>
      <c r="N16">
        <v>24</v>
      </c>
      <c r="O16">
        <v>36.5</v>
      </c>
      <c r="P16">
        <v>41.6</v>
      </c>
      <c r="Q16">
        <v>40.299999999999997</v>
      </c>
      <c r="R16">
        <v>4.92</v>
      </c>
    </row>
    <row r="17" spans="1:18" x14ac:dyDescent="0.3">
      <c r="A17" s="1" t="s">
        <v>783</v>
      </c>
      <c r="B17" s="1" t="s">
        <v>128</v>
      </c>
      <c r="C17" s="1" t="s">
        <v>784</v>
      </c>
      <c r="D17" s="1" t="s">
        <v>256</v>
      </c>
      <c r="E17" s="1" t="s">
        <v>16</v>
      </c>
      <c r="F17" s="1" t="s">
        <v>18</v>
      </c>
      <c r="G17">
        <v>1</v>
      </c>
      <c r="H17" s="1" t="s">
        <v>396</v>
      </c>
      <c r="I17" s="1" t="s">
        <v>397</v>
      </c>
      <c r="J17">
        <v>18</v>
      </c>
      <c r="K17">
        <v>2.5</v>
      </c>
      <c r="L17">
        <v>204.5</v>
      </c>
      <c r="M17">
        <v>101</v>
      </c>
      <c r="N17">
        <v>20.9</v>
      </c>
      <c r="O17">
        <v>35.5</v>
      </c>
      <c r="P17">
        <v>55.2</v>
      </c>
      <c r="Q17">
        <v>40.200000000000003</v>
      </c>
      <c r="R17">
        <v>4.72</v>
      </c>
    </row>
    <row r="18" spans="1:18" x14ac:dyDescent="0.3">
      <c r="A18" s="1" t="s">
        <v>785</v>
      </c>
      <c r="B18" s="1" t="s">
        <v>128</v>
      </c>
      <c r="C18" s="1" t="s">
        <v>134</v>
      </c>
      <c r="D18" s="1" t="s">
        <v>786</v>
      </c>
      <c r="E18" s="1" t="s">
        <v>14</v>
      </c>
      <c r="F18" s="1" t="s">
        <v>13</v>
      </c>
      <c r="G18">
        <v>1</v>
      </c>
      <c r="H18" s="1" t="s">
        <v>385</v>
      </c>
      <c r="I18" s="1" t="s">
        <v>392</v>
      </c>
      <c r="J18">
        <v>11</v>
      </c>
      <c r="K18">
        <v>-2</v>
      </c>
      <c r="L18">
        <v>211</v>
      </c>
      <c r="M18">
        <v>106.5</v>
      </c>
      <c r="N18">
        <v>22.9</v>
      </c>
      <c r="O18">
        <v>49.9</v>
      </c>
      <c r="P18">
        <v>71.2</v>
      </c>
      <c r="Q18">
        <v>39.6</v>
      </c>
      <c r="R18">
        <v>4.45</v>
      </c>
    </row>
    <row r="19" spans="1:18" x14ac:dyDescent="0.3">
      <c r="A19" s="1" t="s">
        <v>787</v>
      </c>
      <c r="B19" s="1" t="s">
        <v>253</v>
      </c>
      <c r="C19" s="1" t="s">
        <v>254</v>
      </c>
      <c r="D19" s="1" t="s">
        <v>139</v>
      </c>
      <c r="E19" s="1" t="s">
        <v>13</v>
      </c>
      <c r="F19" s="1"/>
      <c r="G19">
        <v>0</v>
      </c>
      <c r="H19" s="1" t="s">
        <v>251</v>
      </c>
      <c r="I19" s="1" t="s">
        <v>398</v>
      </c>
      <c r="J19">
        <v>28</v>
      </c>
      <c r="K19">
        <v>-2</v>
      </c>
      <c r="L19">
        <v>235.5</v>
      </c>
      <c r="M19">
        <v>118.8</v>
      </c>
      <c r="N19">
        <v>27.4</v>
      </c>
      <c r="O19">
        <v>32.9</v>
      </c>
      <c r="P19">
        <v>41.5</v>
      </c>
      <c r="Q19">
        <v>38.9</v>
      </c>
      <c r="R19">
        <v>5.4</v>
      </c>
    </row>
    <row r="20" spans="1:18" x14ac:dyDescent="0.3">
      <c r="A20" s="1" t="s">
        <v>788</v>
      </c>
      <c r="B20" s="1" t="s">
        <v>128</v>
      </c>
      <c r="C20" s="1" t="s">
        <v>789</v>
      </c>
      <c r="D20" s="1" t="s">
        <v>133</v>
      </c>
      <c r="E20" s="1" t="s">
        <v>18</v>
      </c>
      <c r="F20" s="1" t="s">
        <v>16</v>
      </c>
      <c r="G20">
        <v>1</v>
      </c>
      <c r="H20" s="1" t="s">
        <v>428</v>
      </c>
      <c r="I20" s="1" t="s">
        <v>427</v>
      </c>
      <c r="J20">
        <v>21</v>
      </c>
      <c r="K20">
        <v>5.5</v>
      </c>
      <c r="L20">
        <v>222.5</v>
      </c>
      <c r="M20">
        <v>108.5</v>
      </c>
      <c r="N20">
        <v>25.9</v>
      </c>
      <c r="O20">
        <v>40.299999999999997</v>
      </c>
      <c r="P20">
        <v>51.4</v>
      </c>
      <c r="Q20">
        <v>38.700000000000003</v>
      </c>
      <c r="R20">
        <v>4.84</v>
      </c>
    </row>
    <row r="21" spans="1:18" x14ac:dyDescent="0.3">
      <c r="A21" s="1" t="s">
        <v>790</v>
      </c>
      <c r="B21" s="1" t="s">
        <v>146</v>
      </c>
      <c r="C21" s="1" t="s">
        <v>791</v>
      </c>
      <c r="D21" s="1" t="s">
        <v>153</v>
      </c>
      <c r="E21" s="1" t="s">
        <v>18</v>
      </c>
      <c r="F21" s="1"/>
      <c r="G21">
        <v>1</v>
      </c>
      <c r="H21" s="1" t="s">
        <v>427</v>
      </c>
      <c r="I21" s="1" t="s">
        <v>428</v>
      </c>
      <c r="J21">
        <v>20</v>
      </c>
      <c r="K21">
        <v>-5.5</v>
      </c>
      <c r="L21">
        <v>222.5</v>
      </c>
      <c r="M21">
        <v>114</v>
      </c>
      <c r="N21">
        <v>5.9</v>
      </c>
      <c r="O21">
        <v>26.7</v>
      </c>
      <c r="P21">
        <v>53.3</v>
      </c>
      <c r="Q21">
        <v>38.4</v>
      </c>
      <c r="R21">
        <v>5.49</v>
      </c>
    </row>
    <row r="22" spans="1:18" x14ac:dyDescent="0.3">
      <c r="A22" s="1" t="s">
        <v>792</v>
      </c>
      <c r="B22" s="1" t="s">
        <v>793</v>
      </c>
      <c r="C22" s="1" t="s">
        <v>794</v>
      </c>
      <c r="D22" s="1" t="s">
        <v>153</v>
      </c>
      <c r="E22" s="1" t="s">
        <v>16</v>
      </c>
      <c r="F22" s="1" t="s">
        <v>18</v>
      </c>
      <c r="G22">
        <v>1</v>
      </c>
      <c r="H22" s="1" t="s">
        <v>401</v>
      </c>
      <c r="I22" s="1" t="s">
        <v>408</v>
      </c>
      <c r="J22">
        <v>27</v>
      </c>
      <c r="K22">
        <v>7</v>
      </c>
      <c r="L22">
        <v>233.5</v>
      </c>
      <c r="M22">
        <v>113.3</v>
      </c>
      <c r="N22">
        <v>1.2</v>
      </c>
      <c r="O22">
        <v>28.9</v>
      </c>
      <c r="P22">
        <v>43.7</v>
      </c>
      <c r="Q22">
        <v>37.9</v>
      </c>
      <c r="R22">
        <v>5.41</v>
      </c>
    </row>
    <row r="23" spans="1:18" x14ac:dyDescent="0.3">
      <c r="A23" s="1" t="s">
        <v>795</v>
      </c>
      <c r="B23" s="1" t="s">
        <v>188</v>
      </c>
      <c r="C23" s="1" t="s">
        <v>258</v>
      </c>
      <c r="D23" s="1" t="s">
        <v>786</v>
      </c>
      <c r="E23" s="1" t="s">
        <v>14</v>
      </c>
      <c r="F23" s="1" t="s">
        <v>16</v>
      </c>
      <c r="G23">
        <v>0</v>
      </c>
      <c r="H23" s="1" t="s">
        <v>257</v>
      </c>
      <c r="I23" s="1" t="s">
        <v>383</v>
      </c>
      <c r="J23">
        <v>20</v>
      </c>
      <c r="K23">
        <v>-6</v>
      </c>
      <c r="L23">
        <v>213</v>
      </c>
      <c r="M23">
        <v>109.5</v>
      </c>
      <c r="N23">
        <v>39.799999999999997</v>
      </c>
      <c r="O23">
        <v>47</v>
      </c>
      <c r="P23">
        <v>59.8</v>
      </c>
      <c r="Q23">
        <v>37.5</v>
      </c>
      <c r="R23">
        <v>4.21</v>
      </c>
    </row>
    <row r="24" spans="1:18" x14ac:dyDescent="0.3">
      <c r="A24" s="1" t="s">
        <v>796</v>
      </c>
      <c r="B24" s="1" t="s">
        <v>128</v>
      </c>
      <c r="C24" s="1" t="s">
        <v>797</v>
      </c>
      <c r="D24" s="1" t="s">
        <v>201</v>
      </c>
      <c r="E24" s="1" t="s">
        <v>18</v>
      </c>
      <c r="F24" s="1"/>
      <c r="G24">
        <v>1</v>
      </c>
      <c r="H24" s="1" t="s">
        <v>408</v>
      </c>
      <c r="I24" s="1" t="s">
        <v>401</v>
      </c>
      <c r="J24">
        <v>30</v>
      </c>
      <c r="K24">
        <v>-7</v>
      </c>
      <c r="L24">
        <v>233.5</v>
      </c>
      <c r="M24">
        <v>120.3</v>
      </c>
      <c r="N24">
        <v>31.3</v>
      </c>
      <c r="O24">
        <v>35.200000000000003</v>
      </c>
      <c r="P24">
        <v>43.9</v>
      </c>
      <c r="Q24">
        <v>37.5</v>
      </c>
      <c r="R24">
        <v>6.15</v>
      </c>
    </row>
    <row r="25" spans="1:18" x14ac:dyDescent="0.3">
      <c r="A25" s="1" t="s">
        <v>798</v>
      </c>
      <c r="B25" s="1" t="s">
        <v>799</v>
      </c>
      <c r="C25" s="1" t="s">
        <v>800</v>
      </c>
      <c r="D25" s="1" t="s">
        <v>801</v>
      </c>
      <c r="E25" s="1" t="s">
        <v>21</v>
      </c>
      <c r="F25" s="1" t="s">
        <v>13</v>
      </c>
      <c r="G25">
        <v>2</v>
      </c>
      <c r="H25" s="1" t="s">
        <v>383</v>
      </c>
      <c r="I25" s="1" t="s">
        <v>257</v>
      </c>
      <c r="J25">
        <v>22</v>
      </c>
      <c r="K25">
        <v>6</v>
      </c>
      <c r="L25">
        <v>213</v>
      </c>
      <c r="M25">
        <v>103.5</v>
      </c>
      <c r="N25">
        <v>16.5</v>
      </c>
      <c r="O25">
        <v>36.1</v>
      </c>
      <c r="P25">
        <v>49.5</v>
      </c>
      <c r="Q25">
        <v>37.200000000000003</v>
      </c>
      <c r="R25">
        <v>5.03</v>
      </c>
    </row>
    <row r="26" spans="1:18" x14ac:dyDescent="0.3">
      <c r="A26" s="1" t="s">
        <v>802</v>
      </c>
      <c r="B26" s="1" t="s">
        <v>182</v>
      </c>
      <c r="C26" s="1" t="s">
        <v>803</v>
      </c>
      <c r="D26" s="1" t="s">
        <v>131</v>
      </c>
      <c r="E26" s="1" t="s">
        <v>16</v>
      </c>
      <c r="F26" s="1" t="s">
        <v>14</v>
      </c>
      <c r="G26">
        <v>1</v>
      </c>
      <c r="H26" s="1" t="s">
        <v>381</v>
      </c>
      <c r="I26" s="1" t="s">
        <v>382</v>
      </c>
      <c r="J26">
        <v>29</v>
      </c>
      <c r="K26">
        <v>-5.5</v>
      </c>
      <c r="L26">
        <v>225</v>
      </c>
      <c r="M26">
        <v>115.3</v>
      </c>
      <c r="N26">
        <v>25.2</v>
      </c>
      <c r="O26">
        <v>35</v>
      </c>
      <c r="P26">
        <v>47.8</v>
      </c>
      <c r="Q26">
        <v>37.1</v>
      </c>
      <c r="R26">
        <v>4.75</v>
      </c>
    </row>
    <row r="27" spans="1:18" x14ac:dyDescent="0.3">
      <c r="A27" s="1" t="s">
        <v>804</v>
      </c>
      <c r="B27" s="1" t="s">
        <v>140</v>
      </c>
      <c r="C27" s="1" t="s">
        <v>225</v>
      </c>
      <c r="D27" s="1" t="s">
        <v>132</v>
      </c>
      <c r="E27" s="1" t="s">
        <v>14</v>
      </c>
      <c r="F27" s="1"/>
      <c r="G27">
        <v>1</v>
      </c>
      <c r="H27" s="1" t="s">
        <v>382</v>
      </c>
      <c r="I27" s="1" t="s">
        <v>381</v>
      </c>
      <c r="J27">
        <v>10</v>
      </c>
      <c r="K27">
        <v>5.5</v>
      </c>
      <c r="L27">
        <v>225</v>
      </c>
      <c r="M27">
        <v>109.8</v>
      </c>
      <c r="N27">
        <v>23.1</v>
      </c>
      <c r="O27">
        <v>37.6</v>
      </c>
      <c r="P27">
        <v>59.8</v>
      </c>
      <c r="Q27">
        <v>37.1</v>
      </c>
      <c r="R27">
        <v>4.6900000000000004</v>
      </c>
    </row>
    <row r="28" spans="1:18" x14ac:dyDescent="0.3">
      <c r="A28" s="1" t="s">
        <v>805</v>
      </c>
      <c r="B28" s="1" t="s">
        <v>188</v>
      </c>
      <c r="C28" s="1" t="s">
        <v>806</v>
      </c>
      <c r="D28" s="1" t="s">
        <v>139</v>
      </c>
      <c r="E28" s="1" t="s">
        <v>21</v>
      </c>
      <c r="F28" s="1"/>
      <c r="G28">
        <v>3</v>
      </c>
      <c r="H28" s="1" t="s">
        <v>410</v>
      </c>
      <c r="I28" s="1" t="s">
        <v>424</v>
      </c>
      <c r="J28">
        <v>30</v>
      </c>
      <c r="K28">
        <v>3</v>
      </c>
      <c r="L28">
        <v>223</v>
      </c>
      <c r="M28">
        <v>110</v>
      </c>
      <c r="N28">
        <v>22.1</v>
      </c>
      <c r="O28">
        <v>31.1</v>
      </c>
      <c r="P28">
        <v>40</v>
      </c>
      <c r="Q28">
        <v>36.700000000000003</v>
      </c>
      <c r="R28">
        <v>5.0999999999999996</v>
      </c>
    </row>
    <row r="29" spans="1:18" x14ac:dyDescent="0.3">
      <c r="A29" s="1" t="s">
        <v>807</v>
      </c>
      <c r="B29" s="1" t="s">
        <v>182</v>
      </c>
      <c r="C29" s="1" t="s">
        <v>808</v>
      </c>
      <c r="D29" s="1" t="s">
        <v>131</v>
      </c>
      <c r="E29" s="1" t="s">
        <v>21</v>
      </c>
      <c r="F29" s="1" t="s">
        <v>13</v>
      </c>
      <c r="G29">
        <v>1</v>
      </c>
      <c r="H29" s="1" t="s">
        <v>388</v>
      </c>
      <c r="I29" s="1" t="s">
        <v>389</v>
      </c>
      <c r="J29">
        <v>19</v>
      </c>
      <c r="K29">
        <v>4</v>
      </c>
      <c r="L29">
        <v>231</v>
      </c>
      <c r="M29">
        <v>113.5</v>
      </c>
      <c r="N29">
        <v>23.3</v>
      </c>
      <c r="O29">
        <v>34.799999999999997</v>
      </c>
      <c r="P29">
        <v>44.4</v>
      </c>
      <c r="Q29">
        <v>36.200000000000003</v>
      </c>
      <c r="R29">
        <v>4.6399999999999997</v>
      </c>
    </row>
    <row r="30" spans="1:18" x14ac:dyDescent="0.3">
      <c r="A30" s="1" t="s">
        <v>809</v>
      </c>
      <c r="B30" s="1" t="s">
        <v>810</v>
      </c>
      <c r="C30" s="1" t="s">
        <v>811</v>
      </c>
      <c r="D30" s="1" t="s">
        <v>198</v>
      </c>
      <c r="E30" s="1" t="s">
        <v>21</v>
      </c>
      <c r="F30" s="1"/>
      <c r="G30">
        <v>1</v>
      </c>
      <c r="H30" s="1" t="s">
        <v>388</v>
      </c>
      <c r="I30" s="1" t="s">
        <v>389</v>
      </c>
      <c r="J30">
        <v>19</v>
      </c>
      <c r="K30">
        <v>4</v>
      </c>
      <c r="L30">
        <v>231</v>
      </c>
      <c r="M30">
        <v>113.5</v>
      </c>
      <c r="N30">
        <v>23</v>
      </c>
      <c r="O30">
        <v>35.700000000000003</v>
      </c>
      <c r="P30">
        <v>46.9</v>
      </c>
      <c r="Q30">
        <v>35.5</v>
      </c>
      <c r="R30">
        <v>4.38</v>
      </c>
    </row>
    <row r="31" spans="1:18" x14ac:dyDescent="0.3">
      <c r="A31" s="1" t="s">
        <v>812</v>
      </c>
      <c r="B31" s="1" t="s">
        <v>156</v>
      </c>
      <c r="C31" s="1" t="s">
        <v>263</v>
      </c>
      <c r="D31" s="1" t="s">
        <v>202</v>
      </c>
      <c r="E31" s="1" t="s">
        <v>21</v>
      </c>
      <c r="F31" s="1"/>
      <c r="G31">
        <v>0</v>
      </c>
      <c r="H31" s="1" t="s">
        <v>257</v>
      </c>
      <c r="I31" s="1" t="s">
        <v>383</v>
      </c>
      <c r="J31">
        <v>23</v>
      </c>
      <c r="K31">
        <v>-6</v>
      </c>
      <c r="L31">
        <v>213</v>
      </c>
      <c r="M31">
        <v>109.5</v>
      </c>
      <c r="N31">
        <v>27.2</v>
      </c>
      <c r="O31">
        <v>35.799999999999997</v>
      </c>
      <c r="P31">
        <v>46.6</v>
      </c>
      <c r="Q31">
        <v>35.4</v>
      </c>
      <c r="R31">
        <v>4.99</v>
      </c>
    </row>
    <row r="32" spans="1:18" x14ac:dyDescent="0.3">
      <c r="A32" s="1" t="s">
        <v>813</v>
      </c>
      <c r="B32" s="1" t="s">
        <v>142</v>
      </c>
      <c r="C32" s="1" t="s">
        <v>143</v>
      </c>
      <c r="D32" s="1" t="s">
        <v>262</v>
      </c>
      <c r="E32" s="1" t="s">
        <v>16</v>
      </c>
      <c r="F32" s="1" t="s">
        <v>18</v>
      </c>
      <c r="G32">
        <v>1</v>
      </c>
      <c r="H32" s="1" t="s">
        <v>385</v>
      </c>
      <c r="I32" s="1" t="s">
        <v>392</v>
      </c>
      <c r="J32">
        <v>15</v>
      </c>
      <c r="K32">
        <v>-2</v>
      </c>
      <c r="L32">
        <v>211</v>
      </c>
      <c r="M32">
        <v>106.5</v>
      </c>
      <c r="N32">
        <v>26.8</v>
      </c>
      <c r="O32">
        <v>43.1</v>
      </c>
      <c r="P32">
        <v>56.2</v>
      </c>
      <c r="Q32">
        <v>35.4</v>
      </c>
      <c r="R32">
        <v>4.6500000000000004</v>
      </c>
    </row>
    <row r="33" spans="1:18" x14ac:dyDescent="0.3">
      <c r="A33" s="1" t="s">
        <v>814</v>
      </c>
      <c r="B33" s="1" t="s">
        <v>815</v>
      </c>
      <c r="C33" s="1" t="s">
        <v>816</v>
      </c>
      <c r="D33" s="1" t="s">
        <v>226</v>
      </c>
      <c r="E33" s="1" t="s">
        <v>18</v>
      </c>
      <c r="F33" s="1" t="s">
        <v>16</v>
      </c>
      <c r="G33">
        <v>1</v>
      </c>
      <c r="H33" s="1" t="s">
        <v>428</v>
      </c>
      <c r="I33" s="1" t="s">
        <v>427</v>
      </c>
      <c r="J33">
        <v>15</v>
      </c>
      <c r="K33">
        <v>5.5</v>
      </c>
      <c r="L33">
        <v>222.5</v>
      </c>
      <c r="M33">
        <v>108.5</v>
      </c>
      <c r="N33">
        <v>25.2</v>
      </c>
      <c r="O33">
        <v>35</v>
      </c>
      <c r="P33">
        <v>40.1</v>
      </c>
      <c r="Q33">
        <v>34.9</v>
      </c>
      <c r="R33">
        <v>4.53</v>
      </c>
    </row>
    <row r="34" spans="1:18" x14ac:dyDescent="0.3">
      <c r="A34" s="1" t="s">
        <v>817</v>
      </c>
      <c r="B34" s="1" t="s">
        <v>129</v>
      </c>
      <c r="C34" s="1" t="s">
        <v>818</v>
      </c>
      <c r="D34" s="1" t="s">
        <v>226</v>
      </c>
      <c r="E34" s="1" t="s">
        <v>13</v>
      </c>
      <c r="F34" s="1" t="s">
        <v>21</v>
      </c>
      <c r="G34">
        <v>1</v>
      </c>
      <c r="H34" s="1" t="s">
        <v>428</v>
      </c>
      <c r="I34" s="1" t="s">
        <v>427</v>
      </c>
      <c r="J34">
        <v>15</v>
      </c>
      <c r="K34">
        <v>5.5</v>
      </c>
      <c r="L34">
        <v>222.5</v>
      </c>
      <c r="M34">
        <v>108.5</v>
      </c>
      <c r="N34">
        <v>16.399999999999999</v>
      </c>
      <c r="O34">
        <v>34.5</v>
      </c>
      <c r="P34">
        <v>45.8</v>
      </c>
      <c r="Q34">
        <v>34.799999999999997</v>
      </c>
      <c r="R34">
        <v>4.5199999999999996</v>
      </c>
    </row>
    <row r="35" spans="1:18" x14ac:dyDescent="0.3">
      <c r="A35" s="1" t="s">
        <v>819</v>
      </c>
      <c r="B35" s="1" t="s">
        <v>182</v>
      </c>
      <c r="C35" s="1" t="s">
        <v>820</v>
      </c>
      <c r="D35" s="1" t="s">
        <v>227</v>
      </c>
      <c r="E35" s="1" t="s">
        <v>13</v>
      </c>
      <c r="F35" s="1" t="s">
        <v>14</v>
      </c>
      <c r="G35">
        <v>3</v>
      </c>
      <c r="H35" s="1" t="s">
        <v>410</v>
      </c>
      <c r="I35" s="1" t="s">
        <v>424</v>
      </c>
      <c r="J35">
        <v>30</v>
      </c>
      <c r="K35">
        <v>3</v>
      </c>
      <c r="L35">
        <v>223</v>
      </c>
      <c r="M35">
        <v>110</v>
      </c>
      <c r="N35">
        <v>27.5</v>
      </c>
      <c r="O35">
        <v>34.299999999999997</v>
      </c>
      <c r="P35">
        <v>51.5</v>
      </c>
      <c r="Q35">
        <v>34.700000000000003</v>
      </c>
      <c r="R35">
        <v>5.33</v>
      </c>
    </row>
    <row r="36" spans="1:18" x14ac:dyDescent="0.3">
      <c r="A36" s="1" t="s">
        <v>821</v>
      </c>
      <c r="B36" s="1" t="s">
        <v>182</v>
      </c>
      <c r="C36" s="1" t="s">
        <v>822</v>
      </c>
      <c r="D36" s="1" t="s">
        <v>260</v>
      </c>
      <c r="E36" s="1" t="s">
        <v>13</v>
      </c>
      <c r="F36" s="1" t="s">
        <v>21</v>
      </c>
      <c r="G36">
        <v>1</v>
      </c>
      <c r="H36" s="1" t="s">
        <v>382</v>
      </c>
      <c r="I36" s="1" t="s">
        <v>381</v>
      </c>
      <c r="J36">
        <v>4</v>
      </c>
      <c r="K36">
        <v>5.5</v>
      </c>
      <c r="L36">
        <v>225</v>
      </c>
      <c r="M36">
        <v>109.8</v>
      </c>
      <c r="N36">
        <v>17.100000000000001</v>
      </c>
      <c r="O36">
        <v>35.5</v>
      </c>
      <c r="P36">
        <v>46.4</v>
      </c>
      <c r="Q36">
        <v>34.6</v>
      </c>
      <c r="R36">
        <v>4.74</v>
      </c>
    </row>
    <row r="37" spans="1:18" x14ac:dyDescent="0.3">
      <c r="A37" s="1" t="s">
        <v>823</v>
      </c>
      <c r="B37" s="1" t="s">
        <v>283</v>
      </c>
      <c r="C37" s="1" t="s">
        <v>824</v>
      </c>
      <c r="D37" s="1" t="s">
        <v>198</v>
      </c>
      <c r="E37" s="1" t="s">
        <v>16</v>
      </c>
      <c r="F37" s="1" t="s">
        <v>18</v>
      </c>
      <c r="G37">
        <v>2</v>
      </c>
      <c r="H37" s="1" t="s">
        <v>424</v>
      </c>
      <c r="I37" s="1" t="s">
        <v>410</v>
      </c>
      <c r="J37">
        <v>22</v>
      </c>
      <c r="K37">
        <v>-3</v>
      </c>
      <c r="L37">
        <v>223</v>
      </c>
      <c r="M37">
        <v>113</v>
      </c>
      <c r="N37">
        <v>16.399999999999999</v>
      </c>
      <c r="O37">
        <v>32</v>
      </c>
      <c r="P37">
        <v>48.4</v>
      </c>
      <c r="Q37">
        <v>34.4</v>
      </c>
      <c r="R37">
        <v>4.25</v>
      </c>
    </row>
    <row r="38" spans="1:18" x14ac:dyDescent="0.3">
      <c r="A38" s="1" t="s">
        <v>825</v>
      </c>
      <c r="B38" s="1" t="s">
        <v>826</v>
      </c>
      <c r="C38" s="1" t="s">
        <v>827</v>
      </c>
      <c r="D38" s="1" t="s">
        <v>136</v>
      </c>
      <c r="E38" s="1" t="s">
        <v>18</v>
      </c>
      <c r="F38" s="1"/>
      <c r="G38">
        <v>3</v>
      </c>
      <c r="H38" s="1" t="s">
        <v>410</v>
      </c>
      <c r="I38" s="1" t="s">
        <v>424</v>
      </c>
      <c r="J38">
        <v>7</v>
      </c>
      <c r="K38">
        <v>3</v>
      </c>
      <c r="L38">
        <v>223</v>
      </c>
      <c r="M38">
        <v>110</v>
      </c>
      <c r="N38">
        <v>32.4</v>
      </c>
      <c r="O38">
        <v>39.700000000000003</v>
      </c>
      <c r="P38">
        <v>43.2</v>
      </c>
      <c r="Q38">
        <v>33.799999999999997</v>
      </c>
      <c r="R38">
        <v>4.97</v>
      </c>
    </row>
    <row r="39" spans="1:18" x14ac:dyDescent="0.3">
      <c r="A39" s="1" t="s">
        <v>828</v>
      </c>
      <c r="B39" s="1" t="s">
        <v>149</v>
      </c>
      <c r="C39" s="1" t="s">
        <v>829</v>
      </c>
      <c r="D39" s="1" t="s">
        <v>224</v>
      </c>
      <c r="E39" s="1" t="s">
        <v>13</v>
      </c>
      <c r="F39" s="1" t="s">
        <v>14</v>
      </c>
      <c r="G39">
        <v>11</v>
      </c>
      <c r="H39" s="1" t="s">
        <v>392</v>
      </c>
      <c r="I39" s="1" t="s">
        <v>385</v>
      </c>
      <c r="J39">
        <v>1</v>
      </c>
      <c r="K39">
        <v>2</v>
      </c>
      <c r="L39">
        <v>211</v>
      </c>
      <c r="M39">
        <v>104.5</v>
      </c>
      <c r="N39">
        <v>25.3</v>
      </c>
      <c r="O39">
        <v>45.7</v>
      </c>
      <c r="P39">
        <v>59.1</v>
      </c>
      <c r="Q39">
        <v>32.9</v>
      </c>
      <c r="R39">
        <v>3.62</v>
      </c>
    </row>
    <row r="40" spans="1:18" x14ac:dyDescent="0.3">
      <c r="A40" s="1" t="s">
        <v>264</v>
      </c>
      <c r="B40" s="1" t="s">
        <v>265</v>
      </c>
      <c r="C40" s="1" t="s">
        <v>200</v>
      </c>
      <c r="D40" s="1" t="s">
        <v>202</v>
      </c>
      <c r="E40" s="1" t="s">
        <v>21</v>
      </c>
      <c r="F40" s="1"/>
      <c r="G40">
        <v>0</v>
      </c>
      <c r="H40" s="1" t="s">
        <v>251</v>
      </c>
      <c r="I40" s="1" t="s">
        <v>398</v>
      </c>
      <c r="J40">
        <v>7</v>
      </c>
      <c r="K40">
        <v>-2</v>
      </c>
      <c r="L40">
        <v>235.5</v>
      </c>
      <c r="M40">
        <v>118.8</v>
      </c>
      <c r="N40">
        <v>28.9</v>
      </c>
      <c r="O40">
        <v>39.1</v>
      </c>
      <c r="P40">
        <v>53</v>
      </c>
      <c r="Q40">
        <v>32.299999999999997</v>
      </c>
      <c r="R40">
        <v>4.54</v>
      </c>
    </row>
    <row r="41" spans="1:18" x14ac:dyDescent="0.3">
      <c r="A41" s="1" t="s">
        <v>830</v>
      </c>
      <c r="B41" s="1" t="s">
        <v>831</v>
      </c>
      <c r="C41" s="1" t="s">
        <v>832</v>
      </c>
      <c r="D41" s="1" t="s">
        <v>174</v>
      </c>
      <c r="E41" s="1" t="s">
        <v>18</v>
      </c>
      <c r="F41" s="1"/>
      <c r="G41">
        <v>2</v>
      </c>
      <c r="H41" s="1" t="s">
        <v>424</v>
      </c>
      <c r="I41" s="1" t="s">
        <v>410</v>
      </c>
      <c r="J41">
        <v>22</v>
      </c>
      <c r="K41">
        <v>-3</v>
      </c>
      <c r="L41">
        <v>223</v>
      </c>
      <c r="M41">
        <v>113</v>
      </c>
      <c r="N41">
        <v>16.399999999999999</v>
      </c>
      <c r="O41">
        <v>23.9</v>
      </c>
      <c r="P41">
        <v>38.1</v>
      </c>
      <c r="Q41">
        <v>31.7</v>
      </c>
      <c r="R41">
        <v>8.14</v>
      </c>
    </row>
    <row r="42" spans="1:18" x14ac:dyDescent="0.3">
      <c r="A42" s="1" t="s">
        <v>833</v>
      </c>
      <c r="B42" s="1" t="s">
        <v>172</v>
      </c>
      <c r="C42" s="1" t="s">
        <v>834</v>
      </c>
      <c r="D42" s="1" t="s">
        <v>227</v>
      </c>
      <c r="E42" s="1" t="s">
        <v>14</v>
      </c>
      <c r="F42" s="1" t="s">
        <v>13</v>
      </c>
      <c r="G42">
        <v>1</v>
      </c>
      <c r="H42" s="1" t="s">
        <v>382</v>
      </c>
      <c r="I42" s="1" t="s">
        <v>381</v>
      </c>
      <c r="J42">
        <v>10</v>
      </c>
      <c r="K42">
        <v>5.5</v>
      </c>
      <c r="L42">
        <v>225</v>
      </c>
      <c r="M42">
        <v>109.8</v>
      </c>
      <c r="N42">
        <v>20</v>
      </c>
      <c r="O42">
        <v>30.8</v>
      </c>
      <c r="P42">
        <v>48.6</v>
      </c>
      <c r="Q42">
        <v>31.2</v>
      </c>
      <c r="R42">
        <v>4.8</v>
      </c>
    </row>
    <row r="43" spans="1:18" x14ac:dyDescent="0.3">
      <c r="A43" s="1" t="s">
        <v>835</v>
      </c>
      <c r="B43" s="1" t="s">
        <v>140</v>
      </c>
      <c r="C43" s="1" t="s">
        <v>836</v>
      </c>
      <c r="D43" s="1" t="s">
        <v>153</v>
      </c>
      <c r="E43" s="1" t="s">
        <v>21</v>
      </c>
      <c r="F43" s="1" t="s">
        <v>13</v>
      </c>
      <c r="G43">
        <v>21</v>
      </c>
      <c r="H43" s="1" t="s">
        <v>392</v>
      </c>
      <c r="I43" s="1" t="s">
        <v>385</v>
      </c>
      <c r="J43">
        <v>1</v>
      </c>
      <c r="K43">
        <v>2</v>
      </c>
      <c r="L43">
        <v>211</v>
      </c>
      <c r="M43">
        <v>104.5</v>
      </c>
      <c r="N43">
        <v>5.2</v>
      </c>
      <c r="O43">
        <v>27.5</v>
      </c>
      <c r="P43">
        <v>46.2</v>
      </c>
      <c r="Q43">
        <v>30.7</v>
      </c>
      <c r="R43">
        <v>4.3899999999999997</v>
      </c>
    </row>
    <row r="44" spans="1:18" x14ac:dyDescent="0.3">
      <c r="A44" s="1" t="s">
        <v>837</v>
      </c>
      <c r="B44" s="1" t="s">
        <v>205</v>
      </c>
      <c r="C44" s="1" t="s">
        <v>838</v>
      </c>
      <c r="D44" s="1" t="s">
        <v>227</v>
      </c>
      <c r="E44" s="1" t="s">
        <v>21</v>
      </c>
      <c r="F44" s="1"/>
      <c r="G44">
        <v>1</v>
      </c>
      <c r="H44" s="1" t="s">
        <v>427</v>
      </c>
      <c r="I44" s="1" t="s">
        <v>428</v>
      </c>
      <c r="J44">
        <v>17</v>
      </c>
      <c r="K44">
        <v>-5.5</v>
      </c>
      <c r="L44">
        <v>222.5</v>
      </c>
      <c r="M44">
        <v>114</v>
      </c>
      <c r="N44">
        <v>22.5</v>
      </c>
      <c r="O44">
        <v>30.6</v>
      </c>
      <c r="P44">
        <v>44.1</v>
      </c>
      <c r="Q44">
        <v>30.6</v>
      </c>
      <c r="R44">
        <v>4.7</v>
      </c>
    </row>
    <row r="45" spans="1:18" x14ac:dyDescent="0.3">
      <c r="A45" s="1" t="s">
        <v>839</v>
      </c>
      <c r="B45" s="1" t="s">
        <v>129</v>
      </c>
      <c r="C45" s="1" t="s">
        <v>840</v>
      </c>
      <c r="D45" s="1" t="s">
        <v>202</v>
      </c>
      <c r="E45" s="1" t="s">
        <v>21</v>
      </c>
      <c r="F45" s="1"/>
      <c r="G45">
        <v>6</v>
      </c>
      <c r="H45" s="1" t="s">
        <v>408</v>
      </c>
      <c r="I45" s="1" t="s">
        <v>401</v>
      </c>
      <c r="J45">
        <v>6</v>
      </c>
      <c r="K45">
        <v>-7</v>
      </c>
      <c r="L45">
        <v>233.5</v>
      </c>
      <c r="M45">
        <v>120.3</v>
      </c>
      <c r="N45">
        <v>27.8</v>
      </c>
      <c r="O45">
        <v>35.9</v>
      </c>
      <c r="P45">
        <v>44.6</v>
      </c>
      <c r="Q45">
        <v>30.4</v>
      </c>
      <c r="R45">
        <v>4.28</v>
      </c>
    </row>
    <row r="46" spans="1:18" x14ac:dyDescent="0.3">
      <c r="A46" s="1" t="s">
        <v>841</v>
      </c>
      <c r="B46" s="1" t="s">
        <v>140</v>
      </c>
      <c r="C46" s="1" t="s">
        <v>842</v>
      </c>
      <c r="D46" s="1" t="s">
        <v>147</v>
      </c>
      <c r="E46" s="1" t="s">
        <v>18</v>
      </c>
      <c r="F46" s="1" t="s">
        <v>16</v>
      </c>
      <c r="G46">
        <v>1</v>
      </c>
      <c r="H46" s="1" t="s">
        <v>392</v>
      </c>
      <c r="I46" s="1" t="s">
        <v>385</v>
      </c>
      <c r="J46">
        <v>3</v>
      </c>
      <c r="K46">
        <v>2</v>
      </c>
      <c r="L46">
        <v>211</v>
      </c>
      <c r="M46">
        <v>104.5</v>
      </c>
      <c r="N46">
        <v>19.899999999999999</v>
      </c>
      <c r="O46">
        <v>29.7</v>
      </c>
      <c r="P46">
        <v>40.5</v>
      </c>
      <c r="Q46">
        <v>29.8</v>
      </c>
      <c r="R46">
        <v>3.97</v>
      </c>
    </row>
    <row r="47" spans="1:18" x14ac:dyDescent="0.3">
      <c r="A47" s="1" t="s">
        <v>843</v>
      </c>
      <c r="B47" s="1" t="s">
        <v>183</v>
      </c>
      <c r="C47" s="1" t="s">
        <v>844</v>
      </c>
      <c r="D47" s="1" t="s">
        <v>201</v>
      </c>
      <c r="E47" s="1" t="s">
        <v>14</v>
      </c>
      <c r="F47" s="1" t="s">
        <v>13</v>
      </c>
      <c r="G47">
        <v>2</v>
      </c>
      <c r="H47" s="1" t="s">
        <v>383</v>
      </c>
      <c r="I47" s="1" t="s">
        <v>257</v>
      </c>
      <c r="J47">
        <v>23</v>
      </c>
      <c r="K47">
        <v>6</v>
      </c>
      <c r="L47">
        <v>213</v>
      </c>
      <c r="M47">
        <v>103.5</v>
      </c>
      <c r="N47">
        <v>16.600000000000001</v>
      </c>
      <c r="O47">
        <v>24.2</v>
      </c>
      <c r="P47">
        <v>34.5</v>
      </c>
      <c r="Q47">
        <v>29.4</v>
      </c>
      <c r="R47">
        <v>4.82</v>
      </c>
    </row>
    <row r="48" spans="1:18" x14ac:dyDescent="0.3">
      <c r="A48" s="1" t="s">
        <v>845</v>
      </c>
      <c r="B48" s="1" t="s">
        <v>128</v>
      </c>
      <c r="C48" s="1" t="s">
        <v>846</v>
      </c>
      <c r="D48" s="1" t="s">
        <v>164</v>
      </c>
      <c r="E48" s="1" t="s">
        <v>21</v>
      </c>
      <c r="F48" s="1" t="s">
        <v>13</v>
      </c>
      <c r="G48">
        <v>2</v>
      </c>
      <c r="H48" s="1" t="s">
        <v>397</v>
      </c>
      <c r="I48" s="1" t="s">
        <v>396</v>
      </c>
      <c r="J48">
        <v>5</v>
      </c>
      <c r="K48">
        <v>-2.5</v>
      </c>
      <c r="L48">
        <v>204.5</v>
      </c>
      <c r="M48">
        <v>103.5</v>
      </c>
      <c r="N48">
        <v>20.399999999999999</v>
      </c>
      <c r="O48">
        <v>27.5</v>
      </c>
      <c r="P48">
        <v>35.799999999999997</v>
      </c>
      <c r="Q48">
        <v>29</v>
      </c>
      <c r="R48">
        <v>4.99</v>
      </c>
    </row>
    <row r="49" spans="1:18" x14ac:dyDescent="0.3">
      <c r="A49" s="1" t="s">
        <v>847</v>
      </c>
      <c r="B49" s="1" t="s">
        <v>848</v>
      </c>
      <c r="C49" s="1" t="s">
        <v>849</v>
      </c>
      <c r="D49" s="1" t="s">
        <v>159</v>
      </c>
      <c r="E49" s="1" t="s">
        <v>16</v>
      </c>
      <c r="F49" s="1" t="s">
        <v>18</v>
      </c>
      <c r="G49">
        <v>1</v>
      </c>
      <c r="H49" s="1" t="s">
        <v>428</v>
      </c>
      <c r="I49" s="1" t="s">
        <v>427</v>
      </c>
      <c r="J49">
        <v>15</v>
      </c>
      <c r="K49">
        <v>5.5</v>
      </c>
      <c r="L49">
        <v>222.5</v>
      </c>
      <c r="M49">
        <v>108.5</v>
      </c>
      <c r="N49">
        <v>9.9</v>
      </c>
      <c r="O49">
        <v>24.9</v>
      </c>
      <c r="P49">
        <v>37.6</v>
      </c>
      <c r="Q49">
        <v>28.8</v>
      </c>
      <c r="R49">
        <v>4.29</v>
      </c>
    </row>
    <row r="50" spans="1:18" x14ac:dyDescent="0.3">
      <c r="A50" s="1" t="s">
        <v>850</v>
      </c>
      <c r="B50" s="1" t="s">
        <v>851</v>
      </c>
      <c r="C50" s="1" t="s">
        <v>852</v>
      </c>
      <c r="D50" s="1" t="s">
        <v>150</v>
      </c>
      <c r="E50" s="1" t="s">
        <v>13</v>
      </c>
      <c r="F50" s="1"/>
      <c r="G50">
        <v>2</v>
      </c>
      <c r="H50" s="1" t="s">
        <v>389</v>
      </c>
      <c r="I50" s="1" t="s">
        <v>388</v>
      </c>
      <c r="J50">
        <v>18</v>
      </c>
      <c r="K50">
        <v>-4</v>
      </c>
      <c r="L50">
        <v>231</v>
      </c>
      <c r="M50">
        <v>117.5</v>
      </c>
      <c r="N50">
        <v>23.5</v>
      </c>
      <c r="O50">
        <v>32.9</v>
      </c>
      <c r="P50">
        <v>44.3</v>
      </c>
      <c r="Q50">
        <v>28.6</v>
      </c>
      <c r="R50">
        <v>5.2</v>
      </c>
    </row>
    <row r="51" spans="1:18" x14ac:dyDescent="0.3">
      <c r="A51" s="1" t="s">
        <v>853</v>
      </c>
      <c r="B51" s="1" t="s">
        <v>182</v>
      </c>
      <c r="C51" s="1" t="s">
        <v>854</v>
      </c>
      <c r="D51" s="1" t="s">
        <v>148</v>
      </c>
      <c r="E51" s="1" t="s">
        <v>21</v>
      </c>
      <c r="F51" s="1" t="s">
        <v>13</v>
      </c>
      <c r="G51">
        <v>12</v>
      </c>
      <c r="H51" s="1" t="s">
        <v>381</v>
      </c>
      <c r="I51" s="1" t="s">
        <v>382</v>
      </c>
      <c r="J51">
        <v>14</v>
      </c>
      <c r="K51">
        <v>-5.5</v>
      </c>
      <c r="L51">
        <v>225</v>
      </c>
      <c r="M51">
        <v>115.3</v>
      </c>
      <c r="N51">
        <v>7.9</v>
      </c>
      <c r="O51">
        <v>27.9</v>
      </c>
      <c r="P51">
        <v>39.4</v>
      </c>
      <c r="Q51">
        <v>28.4</v>
      </c>
      <c r="R51">
        <v>4.58</v>
      </c>
    </row>
    <row r="52" spans="1:18" x14ac:dyDescent="0.3">
      <c r="A52" s="1" t="s">
        <v>855</v>
      </c>
      <c r="B52" s="1" t="s">
        <v>856</v>
      </c>
      <c r="C52" s="1" t="s">
        <v>857</v>
      </c>
      <c r="D52" s="1" t="s">
        <v>159</v>
      </c>
      <c r="E52" s="1" t="s">
        <v>21</v>
      </c>
      <c r="F52" s="1" t="s">
        <v>13</v>
      </c>
      <c r="G52">
        <v>4</v>
      </c>
      <c r="H52" s="1" t="s">
        <v>381</v>
      </c>
      <c r="I52" s="1" t="s">
        <v>382</v>
      </c>
      <c r="J52">
        <v>8</v>
      </c>
      <c r="K52">
        <v>-5.5</v>
      </c>
      <c r="L52">
        <v>225</v>
      </c>
      <c r="M52">
        <v>115.3</v>
      </c>
      <c r="N52">
        <v>24.3</v>
      </c>
      <c r="O52">
        <v>33.9</v>
      </c>
      <c r="P52">
        <v>45.4</v>
      </c>
      <c r="Q52">
        <v>28.1</v>
      </c>
      <c r="R52">
        <v>4.2</v>
      </c>
    </row>
    <row r="53" spans="1:18" x14ac:dyDescent="0.3">
      <c r="A53" s="1" t="s">
        <v>858</v>
      </c>
      <c r="B53" s="1" t="s">
        <v>135</v>
      </c>
      <c r="C53" s="1" t="s">
        <v>859</v>
      </c>
      <c r="D53" s="1" t="s">
        <v>227</v>
      </c>
      <c r="E53" s="1" t="s">
        <v>14</v>
      </c>
      <c r="F53" s="1" t="s">
        <v>16</v>
      </c>
      <c r="G53">
        <v>1</v>
      </c>
      <c r="H53" s="1" t="s">
        <v>427</v>
      </c>
      <c r="I53" s="1" t="s">
        <v>428</v>
      </c>
      <c r="J53">
        <v>5</v>
      </c>
      <c r="K53">
        <v>-5.5</v>
      </c>
      <c r="L53">
        <v>222.5</v>
      </c>
      <c r="M53">
        <v>114</v>
      </c>
      <c r="N53">
        <v>16.8</v>
      </c>
      <c r="O53">
        <v>31.5</v>
      </c>
      <c r="P53">
        <v>59.6</v>
      </c>
      <c r="Q53">
        <v>28</v>
      </c>
      <c r="R53">
        <v>4.3099999999999996</v>
      </c>
    </row>
    <row r="54" spans="1:18" x14ac:dyDescent="0.3">
      <c r="A54" s="1" t="s">
        <v>860</v>
      </c>
      <c r="B54" s="1" t="s">
        <v>149</v>
      </c>
      <c r="C54" s="1" t="s">
        <v>861</v>
      </c>
      <c r="D54" s="1" t="s">
        <v>150</v>
      </c>
      <c r="E54" s="1" t="s">
        <v>16</v>
      </c>
      <c r="F54" s="1"/>
      <c r="G54">
        <v>2</v>
      </c>
      <c r="H54" s="1" t="s">
        <v>383</v>
      </c>
      <c r="I54" s="1" t="s">
        <v>257</v>
      </c>
      <c r="J54">
        <v>23</v>
      </c>
      <c r="K54">
        <v>6</v>
      </c>
      <c r="L54">
        <v>213</v>
      </c>
      <c r="M54">
        <v>103.5</v>
      </c>
      <c r="N54">
        <v>9.1999999999999993</v>
      </c>
      <c r="O54">
        <v>22.9</v>
      </c>
      <c r="P54">
        <v>37.5</v>
      </c>
      <c r="Q54">
        <v>27.6</v>
      </c>
      <c r="R54">
        <v>5.0199999999999996</v>
      </c>
    </row>
    <row r="55" spans="1:18" x14ac:dyDescent="0.3">
      <c r="A55" s="1" t="s">
        <v>862</v>
      </c>
      <c r="B55" s="1" t="s">
        <v>863</v>
      </c>
      <c r="C55" s="1" t="s">
        <v>864</v>
      </c>
      <c r="D55" s="1" t="s">
        <v>148</v>
      </c>
      <c r="E55" s="1" t="s">
        <v>14</v>
      </c>
      <c r="F55" s="1" t="s">
        <v>13</v>
      </c>
      <c r="G55">
        <v>1</v>
      </c>
      <c r="H55" s="1" t="s">
        <v>396</v>
      </c>
      <c r="I55" s="1" t="s">
        <v>397</v>
      </c>
      <c r="J55">
        <v>17</v>
      </c>
      <c r="K55">
        <v>2.5</v>
      </c>
      <c r="L55">
        <v>204.5</v>
      </c>
      <c r="M55">
        <v>101</v>
      </c>
      <c r="N55">
        <v>24.6</v>
      </c>
      <c r="O55">
        <v>35</v>
      </c>
      <c r="P55">
        <v>47.1</v>
      </c>
      <c r="Q55">
        <v>27.5</v>
      </c>
      <c r="R55">
        <v>4.43</v>
      </c>
    </row>
    <row r="56" spans="1:18" x14ac:dyDescent="0.3">
      <c r="A56" s="1" t="s">
        <v>865</v>
      </c>
      <c r="B56" s="1" t="s">
        <v>146</v>
      </c>
      <c r="C56" s="1" t="s">
        <v>866</v>
      </c>
      <c r="D56" s="1" t="s">
        <v>228</v>
      </c>
      <c r="E56" s="1" t="s">
        <v>14</v>
      </c>
      <c r="F56" s="1" t="s">
        <v>16</v>
      </c>
      <c r="G56">
        <v>1</v>
      </c>
      <c r="H56" s="1" t="s">
        <v>388</v>
      </c>
      <c r="I56" s="1" t="s">
        <v>389</v>
      </c>
      <c r="J56">
        <v>7</v>
      </c>
      <c r="K56">
        <v>4</v>
      </c>
      <c r="L56">
        <v>231</v>
      </c>
      <c r="M56">
        <v>113.5</v>
      </c>
      <c r="N56">
        <v>17.399999999999999</v>
      </c>
      <c r="O56">
        <v>24.2</v>
      </c>
      <c r="P56">
        <v>29.4</v>
      </c>
      <c r="Q56">
        <v>27.5</v>
      </c>
      <c r="R56">
        <v>5.5</v>
      </c>
    </row>
    <row r="57" spans="1:18" x14ac:dyDescent="0.3">
      <c r="A57" s="1" t="s">
        <v>867</v>
      </c>
      <c r="B57" s="1" t="s">
        <v>129</v>
      </c>
      <c r="C57" s="1" t="s">
        <v>868</v>
      </c>
      <c r="D57" s="1" t="s">
        <v>145</v>
      </c>
      <c r="E57" s="1" t="s">
        <v>21</v>
      </c>
      <c r="F57" s="1" t="s">
        <v>13</v>
      </c>
      <c r="G57">
        <v>1</v>
      </c>
      <c r="H57" s="1" t="s">
        <v>385</v>
      </c>
      <c r="I57" s="1" t="s">
        <v>392</v>
      </c>
      <c r="J57">
        <v>8</v>
      </c>
      <c r="K57">
        <v>-2</v>
      </c>
      <c r="L57">
        <v>211</v>
      </c>
      <c r="M57">
        <v>106.5</v>
      </c>
      <c r="N57">
        <v>10.9</v>
      </c>
      <c r="O57">
        <v>23.4</v>
      </c>
      <c r="P57">
        <v>37.299999999999997</v>
      </c>
      <c r="Q57">
        <v>26.7</v>
      </c>
      <c r="R57">
        <v>5.03</v>
      </c>
    </row>
    <row r="58" spans="1:18" x14ac:dyDescent="0.3">
      <c r="A58" s="1" t="s">
        <v>869</v>
      </c>
      <c r="B58" s="1" t="s">
        <v>135</v>
      </c>
      <c r="C58" s="1" t="s">
        <v>859</v>
      </c>
      <c r="D58" s="1" t="s">
        <v>870</v>
      </c>
      <c r="E58" s="1" t="s">
        <v>14</v>
      </c>
      <c r="F58" s="1" t="s">
        <v>13</v>
      </c>
      <c r="G58">
        <v>2</v>
      </c>
      <c r="H58" s="1" t="s">
        <v>424</v>
      </c>
      <c r="I58" s="1" t="s">
        <v>410</v>
      </c>
      <c r="J58">
        <v>24</v>
      </c>
      <c r="K58">
        <v>-3</v>
      </c>
      <c r="L58">
        <v>223</v>
      </c>
      <c r="M58">
        <v>113</v>
      </c>
      <c r="N58">
        <v>21</v>
      </c>
      <c r="O58">
        <v>27</v>
      </c>
      <c r="P58">
        <v>35.700000000000003</v>
      </c>
      <c r="Q58">
        <v>26.2</v>
      </c>
      <c r="R58">
        <v>4.3600000000000003</v>
      </c>
    </row>
    <row r="59" spans="1:18" x14ac:dyDescent="0.3">
      <c r="A59" s="1" t="s">
        <v>871</v>
      </c>
      <c r="B59" s="1" t="s">
        <v>162</v>
      </c>
      <c r="C59" s="1" t="s">
        <v>872</v>
      </c>
      <c r="D59" s="1" t="s">
        <v>151</v>
      </c>
      <c r="E59" s="1" t="s">
        <v>14</v>
      </c>
      <c r="F59" s="1" t="s">
        <v>21</v>
      </c>
      <c r="G59">
        <v>1</v>
      </c>
      <c r="H59" s="1" t="s">
        <v>401</v>
      </c>
      <c r="I59" s="1" t="s">
        <v>408</v>
      </c>
      <c r="J59">
        <v>9</v>
      </c>
      <c r="K59">
        <v>7</v>
      </c>
      <c r="L59">
        <v>233.5</v>
      </c>
      <c r="M59">
        <v>113.3</v>
      </c>
      <c r="N59">
        <v>14.5</v>
      </c>
      <c r="O59">
        <v>23.2</v>
      </c>
      <c r="P59">
        <v>37.4</v>
      </c>
      <c r="Q59">
        <v>25.8</v>
      </c>
      <c r="R59">
        <v>4.37</v>
      </c>
    </row>
    <row r="60" spans="1:18" x14ac:dyDescent="0.3">
      <c r="A60" s="1" t="s">
        <v>873</v>
      </c>
      <c r="B60" s="1" t="s">
        <v>162</v>
      </c>
      <c r="C60" s="1" t="s">
        <v>874</v>
      </c>
      <c r="D60" s="1" t="s">
        <v>178</v>
      </c>
      <c r="E60" s="1" t="s">
        <v>16</v>
      </c>
      <c r="F60" s="1" t="s">
        <v>14</v>
      </c>
      <c r="G60">
        <v>6</v>
      </c>
      <c r="H60" s="1" t="s">
        <v>408</v>
      </c>
      <c r="I60" s="1" t="s">
        <v>401</v>
      </c>
      <c r="J60">
        <v>13</v>
      </c>
      <c r="K60">
        <v>-7</v>
      </c>
      <c r="L60">
        <v>233.5</v>
      </c>
      <c r="M60">
        <v>120.3</v>
      </c>
      <c r="N60">
        <v>13.2</v>
      </c>
      <c r="O60">
        <v>19.7</v>
      </c>
      <c r="P60">
        <v>25.9</v>
      </c>
      <c r="Q60">
        <v>25.8</v>
      </c>
      <c r="R60">
        <v>4.96</v>
      </c>
    </row>
    <row r="61" spans="1:18" x14ac:dyDescent="0.3">
      <c r="A61" s="1" t="s">
        <v>875</v>
      </c>
      <c r="B61" s="1" t="s">
        <v>181</v>
      </c>
      <c r="C61" s="1" t="s">
        <v>876</v>
      </c>
      <c r="D61" s="1" t="s">
        <v>155</v>
      </c>
      <c r="E61" s="1" t="s">
        <v>16</v>
      </c>
      <c r="F61" s="1" t="s">
        <v>14</v>
      </c>
      <c r="G61">
        <v>1</v>
      </c>
      <c r="H61" s="1" t="s">
        <v>428</v>
      </c>
      <c r="I61" s="1" t="s">
        <v>427</v>
      </c>
      <c r="J61">
        <v>25</v>
      </c>
      <c r="K61">
        <v>5.5</v>
      </c>
      <c r="L61">
        <v>222.5</v>
      </c>
      <c r="M61">
        <v>108.5</v>
      </c>
      <c r="N61">
        <v>22.2</v>
      </c>
      <c r="O61">
        <v>26.7</v>
      </c>
      <c r="P61">
        <v>30.9</v>
      </c>
      <c r="Q61">
        <v>25.7</v>
      </c>
      <c r="R61">
        <v>4.76</v>
      </c>
    </row>
    <row r="62" spans="1:18" x14ac:dyDescent="0.3">
      <c r="A62" s="1" t="s">
        <v>877</v>
      </c>
      <c r="B62" s="1" t="s">
        <v>878</v>
      </c>
      <c r="C62" s="1" t="s">
        <v>879</v>
      </c>
      <c r="D62" s="1" t="s">
        <v>137</v>
      </c>
      <c r="E62" s="1" t="s">
        <v>13</v>
      </c>
      <c r="F62" s="1" t="s">
        <v>14</v>
      </c>
      <c r="G62">
        <v>2</v>
      </c>
      <c r="H62" s="1" t="s">
        <v>383</v>
      </c>
      <c r="I62" s="1" t="s">
        <v>257</v>
      </c>
      <c r="J62">
        <v>14</v>
      </c>
      <c r="K62">
        <v>6</v>
      </c>
      <c r="L62">
        <v>213</v>
      </c>
      <c r="M62">
        <v>103.5</v>
      </c>
      <c r="N62">
        <v>24</v>
      </c>
      <c r="O62">
        <v>32.799999999999997</v>
      </c>
      <c r="P62">
        <v>47</v>
      </c>
      <c r="Q62">
        <v>25.5</v>
      </c>
      <c r="R62">
        <v>4.4800000000000004</v>
      </c>
    </row>
    <row r="63" spans="1:18" x14ac:dyDescent="0.3">
      <c r="A63" s="1" t="s">
        <v>880</v>
      </c>
      <c r="B63" s="1" t="s">
        <v>246</v>
      </c>
      <c r="C63" s="1" t="s">
        <v>881</v>
      </c>
      <c r="D63" s="1" t="s">
        <v>178</v>
      </c>
      <c r="E63" s="1" t="s">
        <v>18</v>
      </c>
      <c r="F63" s="1" t="s">
        <v>16</v>
      </c>
      <c r="G63">
        <v>1</v>
      </c>
      <c r="H63" s="1" t="s">
        <v>398</v>
      </c>
      <c r="I63" s="1" t="s">
        <v>251</v>
      </c>
      <c r="J63">
        <v>10</v>
      </c>
      <c r="K63">
        <v>2</v>
      </c>
      <c r="L63">
        <v>235.5</v>
      </c>
      <c r="M63">
        <v>116.8</v>
      </c>
      <c r="N63">
        <v>3.7</v>
      </c>
      <c r="O63">
        <v>24.1</v>
      </c>
      <c r="P63">
        <v>33.299999999999997</v>
      </c>
      <c r="Q63">
        <v>25.5</v>
      </c>
      <c r="R63">
        <v>4.8899999999999997</v>
      </c>
    </row>
    <row r="64" spans="1:18" x14ac:dyDescent="0.3">
      <c r="A64" s="1" t="s">
        <v>882</v>
      </c>
      <c r="B64" s="1" t="s">
        <v>129</v>
      </c>
      <c r="C64" s="1" t="s">
        <v>266</v>
      </c>
      <c r="D64" s="1" t="s">
        <v>157</v>
      </c>
      <c r="E64" s="1" t="s">
        <v>18</v>
      </c>
      <c r="F64" s="1"/>
      <c r="G64">
        <v>0</v>
      </c>
      <c r="H64" s="1" t="s">
        <v>257</v>
      </c>
      <c r="I64" s="1" t="s">
        <v>383</v>
      </c>
      <c r="J64">
        <v>19</v>
      </c>
      <c r="K64">
        <v>-6</v>
      </c>
      <c r="L64">
        <v>213</v>
      </c>
      <c r="M64">
        <v>109.5</v>
      </c>
      <c r="N64">
        <v>19.899999999999999</v>
      </c>
      <c r="O64">
        <v>27.2</v>
      </c>
      <c r="P64">
        <v>40.200000000000003</v>
      </c>
      <c r="Q64">
        <v>25.4</v>
      </c>
      <c r="R64">
        <v>4.53</v>
      </c>
    </row>
    <row r="65" spans="1:18" x14ac:dyDescent="0.3">
      <c r="A65" s="1" t="s">
        <v>883</v>
      </c>
      <c r="B65" s="1" t="s">
        <v>135</v>
      </c>
      <c r="C65" s="1" t="s">
        <v>884</v>
      </c>
      <c r="D65" s="1" t="s">
        <v>163</v>
      </c>
      <c r="E65" s="1" t="s">
        <v>13</v>
      </c>
      <c r="F65" s="1" t="s">
        <v>14</v>
      </c>
      <c r="G65">
        <v>1</v>
      </c>
      <c r="H65" s="1" t="s">
        <v>388</v>
      </c>
      <c r="I65" s="1" t="s">
        <v>389</v>
      </c>
      <c r="J65">
        <v>25</v>
      </c>
      <c r="K65">
        <v>4</v>
      </c>
      <c r="L65">
        <v>231</v>
      </c>
      <c r="M65">
        <v>113.5</v>
      </c>
      <c r="N65">
        <v>18.7</v>
      </c>
      <c r="O65">
        <v>28.1</v>
      </c>
      <c r="P65">
        <v>41</v>
      </c>
      <c r="Q65">
        <v>25.3</v>
      </c>
      <c r="R65">
        <v>4.96</v>
      </c>
    </row>
    <row r="66" spans="1:18" x14ac:dyDescent="0.3">
      <c r="A66" s="1" t="s">
        <v>885</v>
      </c>
      <c r="B66" s="1" t="s">
        <v>140</v>
      </c>
      <c r="C66" s="1" t="s">
        <v>229</v>
      </c>
      <c r="D66" s="1" t="s">
        <v>203</v>
      </c>
      <c r="E66" s="1" t="s">
        <v>18</v>
      </c>
      <c r="F66" s="1"/>
      <c r="G66">
        <v>1</v>
      </c>
      <c r="H66" s="1" t="s">
        <v>396</v>
      </c>
      <c r="I66" s="1" t="s">
        <v>397</v>
      </c>
      <c r="J66">
        <v>12</v>
      </c>
      <c r="K66">
        <v>2.5</v>
      </c>
      <c r="L66">
        <v>204.5</v>
      </c>
      <c r="M66">
        <v>101</v>
      </c>
      <c r="N66">
        <v>15.8</v>
      </c>
      <c r="O66">
        <v>23.9</v>
      </c>
      <c r="P66">
        <v>39.200000000000003</v>
      </c>
      <c r="Q66">
        <v>25.1</v>
      </c>
      <c r="R66">
        <v>5.23</v>
      </c>
    </row>
    <row r="67" spans="1:18" x14ac:dyDescent="0.3">
      <c r="A67" s="1" t="s">
        <v>886</v>
      </c>
      <c r="B67" s="1" t="s">
        <v>162</v>
      </c>
      <c r="C67" s="1" t="s">
        <v>271</v>
      </c>
      <c r="D67" s="1" t="s">
        <v>203</v>
      </c>
      <c r="E67" s="1" t="s">
        <v>13</v>
      </c>
      <c r="F67" s="1" t="s">
        <v>14</v>
      </c>
      <c r="G67">
        <v>0</v>
      </c>
      <c r="H67" s="1" t="s">
        <v>257</v>
      </c>
      <c r="I67" s="1" t="s">
        <v>383</v>
      </c>
      <c r="J67">
        <v>27</v>
      </c>
      <c r="K67">
        <v>-6</v>
      </c>
      <c r="L67">
        <v>213</v>
      </c>
      <c r="M67">
        <v>109.5</v>
      </c>
      <c r="N67">
        <v>5.6</v>
      </c>
      <c r="O67">
        <v>23.8</v>
      </c>
      <c r="P67">
        <v>50.2</v>
      </c>
      <c r="Q67">
        <v>24.9</v>
      </c>
      <c r="R67">
        <v>5.18</v>
      </c>
    </row>
    <row r="68" spans="1:18" x14ac:dyDescent="0.3">
      <c r="A68" s="1" t="s">
        <v>887</v>
      </c>
      <c r="B68" s="1" t="s">
        <v>888</v>
      </c>
      <c r="C68" s="1" t="s">
        <v>889</v>
      </c>
      <c r="D68" s="1" t="s">
        <v>164</v>
      </c>
      <c r="E68" s="1" t="s">
        <v>16</v>
      </c>
      <c r="F68" s="1" t="s">
        <v>18</v>
      </c>
      <c r="G68">
        <v>1</v>
      </c>
      <c r="H68" s="1" t="s">
        <v>385</v>
      </c>
      <c r="I68" s="1" t="s">
        <v>392</v>
      </c>
      <c r="J68">
        <v>21</v>
      </c>
      <c r="K68">
        <v>-2</v>
      </c>
      <c r="L68">
        <v>211</v>
      </c>
      <c r="M68">
        <v>106.5</v>
      </c>
      <c r="N68">
        <v>13.3</v>
      </c>
      <c r="O68">
        <v>19.8</v>
      </c>
      <c r="P68">
        <v>34.6</v>
      </c>
      <c r="Q68">
        <v>24.9</v>
      </c>
      <c r="R68">
        <v>4.29</v>
      </c>
    </row>
    <row r="69" spans="1:18" x14ac:dyDescent="0.3">
      <c r="A69" s="1" t="s">
        <v>890</v>
      </c>
      <c r="B69" s="1" t="s">
        <v>891</v>
      </c>
      <c r="C69" s="1" t="s">
        <v>892</v>
      </c>
      <c r="D69" s="1" t="s">
        <v>157</v>
      </c>
      <c r="E69" s="1" t="s">
        <v>14</v>
      </c>
      <c r="F69" s="1" t="s">
        <v>16</v>
      </c>
      <c r="G69">
        <v>1</v>
      </c>
      <c r="H69" s="1" t="s">
        <v>401</v>
      </c>
      <c r="I69" s="1" t="s">
        <v>408</v>
      </c>
      <c r="J69">
        <v>4</v>
      </c>
      <c r="K69">
        <v>7</v>
      </c>
      <c r="L69">
        <v>233.5</v>
      </c>
      <c r="M69">
        <v>113.3</v>
      </c>
      <c r="N69">
        <v>17.7</v>
      </c>
      <c r="O69">
        <v>26.1</v>
      </c>
      <c r="P69">
        <v>34.1</v>
      </c>
      <c r="Q69">
        <v>24.6</v>
      </c>
      <c r="R69">
        <v>4.3899999999999997</v>
      </c>
    </row>
    <row r="70" spans="1:18" x14ac:dyDescent="0.3">
      <c r="A70" s="1" t="s">
        <v>893</v>
      </c>
      <c r="B70" s="1" t="s">
        <v>269</v>
      </c>
      <c r="C70" s="1" t="s">
        <v>270</v>
      </c>
      <c r="D70" s="1" t="s">
        <v>150</v>
      </c>
      <c r="E70" s="1" t="s">
        <v>21</v>
      </c>
      <c r="F70" s="1" t="s">
        <v>13</v>
      </c>
      <c r="G70">
        <v>0</v>
      </c>
      <c r="H70" s="1" t="s">
        <v>251</v>
      </c>
      <c r="I70" s="1" t="s">
        <v>398</v>
      </c>
      <c r="J70">
        <v>7</v>
      </c>
      <c r="K70">
        <v>-2</v>
      </c>
      <c r="L70">
        <v>235.5</v>
      </c>
      <c r="M70">
        <v>118.8</v>
      </c>
      <c r="N70">
        <v>15.7</v>
      </c>
      <c r="O70">
        <v>23.9</v>
      </c>
      <c r="P70">
        <v>32.9</v>
      </c>
      <c r="Q70">
        <v>24.5</v>
      </c>
      <c r="R70">
        <v>4.45</v>
      </c>
    </row>
    <row r="71" spans="1:18" x14ac:dyDescent="0.3">
      <c r="A71" s="1" t="s">
        <v>894</v>
      </c>
      <c r="B71" s="1" t="s">
        <v>162</v>
      </c>
      <c r="C71" s="1" t="s">
        <v>895</v>
      </c>
      <c r="D71" s="1" t="s">
        <v>178</v>
      </c>
      <c r="E71" s="1" t="s">
        <v>21</v>
      </c>
      <c r="F71" s="1"/>
      <c r="G71">
        <v>13</v>
      </c>
      <c r="H71" s="1" t="s">
        <v>396</v>
      </c>
      <c r="I71" s="1" t="s">
        <v>397</v>
      </c>
      <c r="J71">
        <v>3</v>
      </c>
      <c r="K71">
        <v>2.5</v>
      </c>
      <c r="L71">
        <v>204.5</v>
      </c>
      <c r="M71">
        <v>101</v>
      </c>
      <c r="N71">
        <v>4.4000000000000004</v>
      </c>
      <c r="O71">
        <v>33</v>
      </c>
      <c r="P71">
        <v>66.8</v>
      </c>
      <c r="Q71">
        <v>24.5</v>
      </c>
      <c r="R71">
        <v>4.72</v>
      </c>
    </row>
    <row r="72" spans="1:18" x14ac:dyDescent="0.3">
      <c r="A72" s="1" t="s">
        <v>896</v>
      </c>
      <c r="B72" s="1" t="s">
        <v>129</v>
      </c>
      <c r="C72" s="1" t="s">
        <v>897</v>
      </c>
      <c r="D72" s="1" t="s">
        <v>174</v>
      </c>
      <c r="E72" s="1" t="s">
        <v>16</v>
      </c>
      <c r="F72" s="1" t="s">
        <v>18</v>
      </c>
      <c r="G72">
        <v>1</v>
      </c>
      <c r="H72" s="1" t="s">
        <v>408</v>
      </c>
      <c r="I72" s="1" t="s">
        <v>401</v>
      </c>
      <c r="J72">
        <v>30</v>
      </c>
      <c r="K72">
        <v>-7</v>
      </c>
      <c r="L72">
        <v>233.5</v>
      </c>
      <c r="M72">
        <v>120.3</v>
      </c>
      <c r="N72">
        <v>3.2</v>
      </c>
      <c r="O72">
        <v>14.6</v>
      </c>
      <c r="P72">
        <v>28.7</v>
      </c>
      <c r="Q72">
        <v>24.4</v>
      </c>
      <c r="R72">
        <v>6.26</v>
      </c>
    </row>
    <row r="73" spans="1:18" x14ac:dyDescent="0.3">
      <c r="A73" s="1" t="s">
        <v>898</v>
      </c>
      <c r="B73" s="1" t="s">
        <v>149</v>
      </c>
      <c r="C73" s="1" t="s">
        <v>899</v>
      </c>
      <c r="D73" s="1" t="s">
        <v>178</v>
      </c>
      <c r="E73" s="1" t="s">
        <v>13</v>
      </c>
      <c r="F73" s="1" t="s">
        <v>14</v>
      </c>
      <c r="G73">
        <v>3</v>
      </c>
      <c r="H73" s="1" t="s">
        <v>410</v>
      </c>
      <c r="I73" s="1" t="s">
        <v>424</v>
      </c>
      <c r="J73">
        <v>1</v>
      </c>
      <c r="K73">
        <v>3</v>
      </c>
      <c r="L73">
        <v>223</v>
      </c>
      <c r="M73">
        <v>110</v>
      </c>
      <c r="N73">
        <v>15.1</v>
      </c>
      <c r="O73">
        <v>24.8</v>
      </c>
      <c r="P73">
        <v>38.299999999999997</v>
      </c>
      <c r="Q73">
        <v>24.4</v>
      </c>
      <c r="R73">
        <v>4.7</v>
      </c>
    </row>
    <row r="74" spans="1:18" x14ac:dyDescent="0.3">
      <c r="A74" s="1" t="s">
        <v>900</v>
      </c>
      <c r="B74" s="1" t="s">
        <v>128</v>
      </c>
      <c r="C74" s="1" t="s">
        <v>901</v>
      </c>
      <c r="D74" s="1" t="s">
        <v>157</v>
      </c>
      <c r="E74" s="1" t="s">
        <v>21</v>
      </c>
      <c r="F74" s="1" t="s">
        <v>13</v>
      </c>
      <c r="G74">
        <v>1</v>
      </c>
      <c r="H74" s="1" t="s">
        <v>427</v>
      </c>
      <c r="I74" s="1" t="s">
        <v>428</v>
      </c>
      <c r="J74">
        <v>17</v>
      </c>
      <c r="K74">
        <v>-5.5</v>
      </c>
      <c r="L74">
        <v>222.5</v>
      </c>
      <c r="M74">
        <v>114</v>
      </c>
      <c r="N74">
        <v>15.4</v>
      </c>
      <c r="O74">
        <v>21.2</v>
      </c>
      <c r="P74">
        <v>28.5</v>
      </c>
      <c r="Q74">
        <v>24.2</v>
      </c>
      <c r="R74">
        <v>4.32</v>
      </c>
    </row>
    <row r="75" spans="1:18" x14ac:dyDescent="0.3">
      <c r="A75" s="1" t="s">
        <v>902</v>
      </c>
      <c r="B75" s="1" t="s">
        <v>903</v>
      </c>
      <c r="C75" s="1" t="s">
        <v>904</v>
      </c>
      <c r="D75" s="1" t="s">
        <v>157</v>
      </c>
      <c r="E75" s="1" t="s">
        <v>16</v>
      </c>
      <c r="F75" s="1"/>
      <c r="G75">
        <v>2</v>
      </c>
      <c r="H75" s="1" t="s">
        <v>397</v>
      </c>
      <c r="I75" s="1" t="s">
        <v>396</v>
      </c>
      <c r="J75">
        <v>7</v>
      </c>
      <c r="K75">
        <v>-2.5</v>
      </c>
      <c r="L75">
        <v>204.5</v>
      </c>
      <c r="M75">
        <v>103.5</v>
      </c>
      <c r="N75">
        <v>20</v>
      </c>
      <c r="O75">
        <v>24.7</v>
      </c>
      <c r="P75">
        <v>28.8</v>
      </c>
      <c r="Q75">
        <v>23.9</v>
      </c>
      <c r="R75">
        <v>4.2699999999999996</v>
      </c>
    </row>
    <row r="76" spans="1:18" x14ac:dyDescent="0.3">
      <c r="A76" s="1" t="s">
        <v>905</v>
      </c>
      <c r="B76" s="1" t="s">
        <v>906</v>
      </c>
      <c r="C76" s="1" t="s">
        <v>907</v>
      </c>
      <c r="D76" s="1" t="s">
        <v>137</v>
      </c>
      <c r="E76" s="1" t="s">
        <v>16</v>
      </c>
      <c r="F76" s="1" t="s">
        <v>18</v>
      </c>
      <c r="G76">
        <v>1</v>
      </c>
      <c r="H76" s="1" t="s">
        <v>382</v>
      </c>
      <c r="I76" s="1" t="s">
        <v>381</v>
      </c>
      <c r="J76">
        <v>25</v>
      </c>
      <c r="K76">
        <v>5.5</v>
      </c>
      <c r="L76">
        <v>225</v>
      </c>
      <c r="M76">
        <v>109.8</v>
      </c>
      <c r="N76">
        <v>12.3</v>
      </c>
      <c r="O76">
        <v>26</v>
      </c>
      <c r="P76">
        <v>37.299999999999997</v>
      </c>
      <c r="Q76">
        <v>23.6</v>
      </c>
      <c r="R76">
        <v>4.1399999999999997</v>
      </c>
    </row>
    <row r="77" spans="1:18" x14ac:dyDescent="0.3">
      <c r="A77" s="1" t="s">
        <v>908</v>
      </c>
      <c r="B77" s="1" t="s">
        <v>294</v>
      </c>
      <c r="C77" s="1" t="s">
        <v>909</v>
      </c>
      <c r="D77" s="1" t="s">
        <v>168</v>
      </c>
      <c r="E77" s="1" t="s">
        <v>18</v>
      </c>
      <c r="F77" s="1" t="s">
        <v>16</v>
      </c>
      <c r="G77">
        <v>1</v>
      </c>
      <c r="H77" s="1" t="s">
        <v>388</v>
      </c>
      <c r="I77" s="1" t="s">
        <v>389</v>
      </c>
      <c r="J77">
        <v>2</v>
      </c>
      <c r="K77">
        <v>4</v>
      </c>
      <c r="L77">
        <v>231</v>
      </c>
      <c r="M77">
        <v>113.5</v>
      </c>
      <c r="N77">
        <v>10.3</v>
      </c>
      <c r="O77">
        <v>23.1</v>
      </c>
      <c r="P77">
        <v>39</v>
      </c>
      <c r="Q77">
        <v>23.5</v>
      </c>
      <c r="R77">
        <v>4.99</v>
      </c>
    </row>
    <row r="78" spans="1:18" x14ac:dyDescent="0.3">
      <c r="A78" s="1" t="s">
        <v>910</v>
      </c>
      <c r="B78" s="1" t="s">
        <v>911</v>
      </c>
      <c r="C78" s="1" t="s">
        <v>912</v>
      </c>
      <c r="D78" s="1" t="s">
        <v>155</v>
      </c>
      <c r="E78" s="1" t="s">
        <v>13</v>
      </c>
      <c r="F78" s="1" t="s">
        <v>14</v>
      </c>
      <c r="G78">
        <v>2</v>
      </c>
      <c r="H78" s="1" t="s">
        <v>397</v>
      </c>
      <c r="I78" s="1" t="s">
        <v>396</v>
      </c>
      <c r="J78">
        <v>15</v>
      </c>
      <c r="K78">
        <v>-2.5</v>
      </c>
      <c r="L78">
        <v>204.5</v>
      </c>
      <c r="M78">
        <v>103.5</v>
      </c>
      <c r="N78">
        <v>14.6</v>
      </c>
      <c r="O78">
        <v>24</v>
      </c>
      <c r="P78">
        <v>34.299999999999997</v>
      </c>
      <c r="Q78">
        <v>23.4</v>
      </c>
      <c r="R78">
        <v>4.33</v>
      </c>
    </row>
    <row r="79" spans="1:18" x14ac:dyDescent="0.3">
      <c r="A79" s="1" t="s">
        <v>913</v>
      </c>
      <c r="B79" s="1" t="s">
        <v>140</v>
      </c>
      <c r="C79" s="1" t="s">
        <v>268</v>
      </c>
      <c r="D79" s="1" t="s">
        <v>158</v>
      </c>
      <c r="E79" s="1" t="s">
        <v>18</v>
      </c>
      <c r="F79" s="1" t="s">
        <v>16</v>
      </c>
      <c r="G79">
        <v>0</v>
      </c>
      <c r="H79" s="1" t="s">
        <v>257</v>
      </c>
      <c r="I79" s="1" t="s">
        <v>383</v>
      </c>
      <c r="J79">
        <v>19</v>
      </c>
      <c r="K79">
        <v>-6</v>
      </c>
      <c r="L79">
        <v>213</v>
      </c>
      <c r="M79">
        <v>109.5</v>
      </c>
      <c r="N79">
        <v>21.7</v>
      </c>
      <c r="O79">
        <v>25.6</v>
      </c>
      <c r="P79">
        <v>29.9</v>
      </c>
      <c r="Q79">
        <v>23.4</v>
      </c>
      <c r="R79">
        <v>4.7699999999999996</v>
      </c>
    </row>
    <row r="80" spans="1:18" x14ac:dyDescent="0.3">
      <c r="A80" s="1" t="s">
        <v>914</v>
      </c>
      <c r="B80" s="1" t="s">
        <v>142</v>
      </c>
      <c r="C80" s="1" t="s">
        <v>915</v>
      </c>
      <c r="D80" s="1" t="s">
        <v>158</v>
      </c>
      <c r="E80" s="1" t="s">
        <v>18</v>
      </c>
      <c r="F80" s="1"/>
      <c r="G80">
        <v>14</v>
      </c>
      <c r="H80" s="1" t="s">
        <v>383</v>
      </c>
      <c r="I80" s="1" t="s">
        <v>257</v>
      </c>
      <c r="J80">
        <v>16</v>
      </c>
      <c r="K80">
        <v>6</v>
      </c>
      <c r="L80">
        <v>213</v>
      </c>
      <c r="M80">
        <v>103.5</v>
      </c>
      <c r="N80">
        <v>4.9000000000000004</v>
      </c>
      <c r="O80">
        <v>20</v>
      </c>
      <c r="P80">
        <v>37.5</v>
      </c>
      <c r="Q80">
        <v>23.2</v>
      </c>
      <c r="R80">
        <v>4.74</v>
      </c>
    </row>
    <row r="81" spans="1:18" x14ac:dyDescent="0.3">
      <c r="A81" s="1" t="s">
        <v>916</v>
      </c>
      <c r="B81" s="1" t="s">
        <v>906</v>
      </c>
      <c r="C81" s="1" t="s">
        <v>917</v>
      </c>
      <c r="D81" s="1" t="s">
        <v>155</v>
      </c>
      <c r="E81" s="1" t="s">
        <v>16</v>
      </c>
      <c r="F81" s="1" t="s">
        <v>18</v>
      </c>
      <c r="G81">
        <v>3</v>
      </c>
      <c r="H81" s="1" t="s">
        <v>410</v>
      </c>
      <c r="I81" s="1" t="s">
        <v>424</v>
      </c>
      <c r="J81">
        <v>24</v>
      </c>
      <c r="K81">
        <v>3</v>
      </c>
      <c r="L81">
        <v>223</v>
      </c>
      <c r="M81">
        <v>110</v>
      </c>
      <c r="N81">
        <v>11.1</v>
      </c>
      <c r="O81">
        <v>24.2</v>
      </c>
      <c r="P81">
        <v>38</v>
      </c>
      <c r="Q81">
        <v>23.1</v>
      </c>
      <c r="R81">
        <v>4.2699999999999996</v>
      </c>
    </row>
    <row r="82" spans="1:18" x14ac:dyDescent="0.3">
      <c r="A82" s="1" t="s">
        <v>918</v>
      </c>
      <c r="B82" s="1" t="s">
        <v>162</v>
      </c>
      <c r="C82" s="1" t="s">
        <v>919</v>
      </c>
      <c r="D82" s="1" t="s">
        <v>157</v>
      </c>
      <c r="E82" s="1" t="s">
        <v>13</v>
      </c>
      <c r="F82" s="1" t="s">
        <v>14</v>
      </c>
      <c r="G82">
        <v>2</v>
      </c>
      <c r="H82" s="1" t="s">
        <v>424</v>
      </c>
      <c r="I82" s="1" t="s">
        <v>410</v>
      </c>
      <c r="J82">
        <v>6</v>
      </c>
      <c r="K82">
        <v>-3</v>
      </c>
      <c r="L82">
        <v>223</v>
      </c>
      <c r="M82">
        <v>113</v>
      </c>
      <c r="N82">
        <v>14.6</v>
      </c>
      <c r="O82">
        <v>25.5</v>
      </c>
      <c r="P82">
        <v>47.7</v>
      </c>
      <c r="Q82">
        <v>22.7</v>
      </c>
      <c r="R82">
        <v>4.04</v>
      </c>
    </row>
    <row r="83" spans="1:18" x14ac:dyDescent="0.3">
      <c r="A83" s="1" t="s">
        <v>920</v>
      </c>
      <c r="B83" s="1" t="s">
        <v>129</v>
      </c>
      <c r="C83" s="1" t="s">
        <v>921</v>
      </c>
      <c r="D83" s="1" t="s">
        <v>145</v>
      </c>
      <c r="E83" s="1" t="s">
        <v>14</v>
      </c>
      <c r="F83" s="1" t="s">
        <v>13</v>
      </c>
      <c r="G83">
        <v>2</v>
      </c>
      <c r="H83" s="1" t="s">
        <v>397</v>
      </c>
      <c r="I83" s="1" t="s">
        <v>396</v>
      </c>
      <c r="J83">
        <v>12</v>
      </c>
      <c r="K83">
        <v>-2.5</v>
      </c>
      <c r="L83">
        <v>204.5</v>
      </c>
      <c r="M83">
        <v>103.5</v>
      </c>
      <c r="N83">
        <v>16.399999999999999</v>
      </c>
      <c r="O83">
        <v>21.5</v>
      </c>
      <c r="P83">
        <v>32.799999999999997</v>
      </c>
      <c r="Q83">
        <v>22.6</v>
      </c>
      <c r="R83">
        <v>4.25</v>
      </c>
    </row>
    <row r="84" spans="1:18" x14ac:dyDescent="0.3">
      <c r="A84" s="1" t="s">
        <v>922</v>
      </c>
      <c r="B84" s="1" t="s">
        <v>128</v>
      </c>
      <c r="C84" s="1" t="s">
        <v>272</v>
      </c>
      <c r="D84" s="1" t="s">
        <v>158</v>
      </c>
      <c r="E84" s="1" t="s">
        <v>13</v>
      </c>
      <c r="F84" s="1" t="s">
        <v>21</v>
      </c>
      <c r="G84">
        <v>1</v>
      </c>
      <c r="H84" s="1" t="s">
        <v>401</v>
      </c>
      <c r="I84" s="1" t="s">
        <v>408</v>
      </c>
      <c r="J84">
        <v>9</v>
      </c>
      <c r="K84">
        <v>7</v>
      </c>
      <c r="L84">
        <v>233.5</v>
      </c>
      <c r="M84">
        <v>113.3</v>
      </c>
      <c r="N84">
        <v>13.6</v>
      </c>
      <c r="O84">
        <v>18.600000000000001</v>
      </c>
      <c r="P84">
        <v>29.7</v>
      </c>
      <c r="Q84">
        <v>22.5</v>
      </c>
      <c r="R84">
        <v>4.5999999999999996</v>
      </c>
    </row>
    <row r="85" spans="1:18" x14ac:dyDescent="0.3">
      <c r="A85" s="1" t="s">
        <v>923</v>
      </c>
      <c r="B85" s="1" t="s">
        <v>144</v>
      </c>
      <c r="C85" s="1" t="s">
        <v>924</v>
      </c>
      <c r="D85" s="1" t="s">
        <v>228</v>
      </c>
      <c r="E85" s="1" t="s">
        <v>13</v>
      </c>
      <c r="F85" s="1" t="s">
        <v>14</v>
      </c>
      <c r="G85">
        <v>2</v>
      </c>
      <c r="H85" s="1" t="s">
        <v>383</v>
      </c>
      <c r="I85" s="1" t="s">
        <v>257</v>
      </c>
      <c r="J85">
        <v>14</v>
      </c>
      <c r="K85">
        <v>6</v>
      </c>
      <c r="L85">
        <v>213</v>
      </c>
      <c r="M85">
        <v>103.5</v>
      </c>
      <c r="N85">
        <v>10.9</v>
      </c>
      <c r="O85">
        <v>26.5</v>
      </c>
      <c r="P85">
        <v>37.200000000000003</v>
      </c>
      <c r="Q85">
        <v>22.4</v>
      </c>
      <c r="R85">
        <v>4.47</v>
      </c>
    </row>
    <row r="86" spans="1:18" x14ac:dyDescent="0.3">
      <c r="A86" s="1" t="s">
        <v>925</v>
      </c>
      <c r="B86" s="1" t="s">
        <v>926</v>
      </c>
      <c r="C86" s="1" t="s">
        <v>927</v>
      </c>
      <c r="D86" s="1" t="s">
        <v>168</v>
      </c>
      <c r="E86" s="1" t="s">
        <v>14</v>
      </c>
      <c r="F86" s="1" t="s">
        <v>16</v>
      </c>
      <c r="G86">
        <v>1</v>
      </c>
      <c r="H86" s="1" t="s">
        <v>428</v>
      </c>
      <c r="I86" s="1" t="s">
        <v>427</v>
      </c>
      <c r="J86">
        <v>23</v>
      </c>
      <c r="K86">
        <v>5.5</v>
      </c>
      <c r="L86">
        <v>222.5</v>
      </c>
      <c r="M86">
        <v>108.5</v>
      </c>
      <c r="N86">
        <v>16.899999999999999</v>
      </c>
      <c r="O86">
        <v>23.5</v>
      </c>
      <c r="P86">
        <v>37</v>
      </c>
      <c r="Q86">
        <v>22.2</v>
      </c>
      <c r="R86">
        <v>4.7300000000000004</v>
      </c>
    </row>
    <row r="87" spans="1:18" x14ac:dyDescent="0.3">
      <c r="A87" s="1" t="s">
        <v>928</v>
      </c>
      <c r="B87" s="1" t="s">
        <v>149</v>
      </c>
      <c r="C87" s="1" t="s">
        <v>929</v>
      </c>
      <c r="D87" s="1" t="s">
        <v>155</v>
      </c>
      <c r="E87" s="1" t="s">
        <v>14</v>
      </c>
      <c r="F87" s="1" t="s">
        <v>16</v>
      </c>
      <c r="G87">
        <v>2</v>
      </c>
      <c r="H87" s="1" t="s">
        <v>389</v>
      </c>
      <c r="I87" s="1" t="s">
        <v>388</v>
      </c>
      <c r="J87">
        <v>11</v>
      </c>
      <c r="K87">
        <v>-4</v>
      </c>
      <c r="L87">
        <v>231</v>
      </c>
      <c r="M87">
        <v>117.5</v>
      </c>
      <c r="N87">
        <v>11.6</v>
      </c>
      <c r="O87">
        <v>21.9</v>
      </c>
      <c r="P87">
        <v>34.4</v>
      </c>
      <c r="Q87">
        <v>22.2</v>
      </c>
      <c r="R87">
        <v>4.0999999999999996</v>
      </c>
    </row>
    <row r="88" spans="1:18" x14ac:dyDescent="0.3">
      <c r="A88" s="1" t="s">
        <v>930</v>
      </c>
      <c r="B88" s="1" t="s">
        <v>129</v>
      </c>
      <c r="C88" s="1" t="s">
        <v>229</v>
      </c>
      <c r="D88" s="1" t="s">
        <v>178</v>
      </c>
      <c r="E88" s="1" t="s">
        <v>13</v>
      </c>
      <c r="F88" s="1"/>
      <c r="G88">
        <v>3</v>
      </c>
      <c r="H88" s="1" t="s">
        <v>410</v>
      </c>
      <c r="I88" s="1" t="s">
        <v>424</v>
      </c>
      <c r="J88">
        <v>24</v>
      </c>
      <c r="K88">
        <v>3</v>
      </c>
      <c r="L88">
        <v>223</v>
      </c>
      <c r="M88">
        <v>110</v>
      </c>
      <c r="N88">
        <v>10.8</v>
      </c>
      <c r="O88">
        <v>21.3</v>
      </c>
      <c r="P88">
        <v>33.299999999999997</v>
      </c>
      <c r="Q88">
        <v>22.1</v>
      </c>
      <c r="R88">
        <v>4.25</v>
      </c>
    </row>
    <row r="89" spans="1:18" x14ac:dyDescent="0.3">
      <c r="A89" s="1" t="s">
        <v>931</v>
      </c>
      <c r="B89" s="1" t="s">
        <v>932</v>
      </c>
      <c r="C89" s="1" t="s">
        <v>899</v>
      </c>
      <c r="D89" s="1" t="s">
        <v>207</v>
      </c>
      <c r="E89" s="1" t="s">
        <v>13</v>
      </c>
      <c r="F89" s="1" t="s">
        <v>21</v>
      </c>
      <c r="G89">
        <v>1</v>
      </c>
      <c r="H89" s="1" t="s">
        <v>382</v>
      </c>
      <c r="I89" s="1" t="s">
        <v>381</v>
      </c>
      <c r="J89">
        <v>16</v>
      </c>
      <c r="K89">
        <v>5.5</v>
      </c>
      <c r="L89">
        <v>225</v>
      </c>
      <c r="M89">
        <v>109.8</v>
      </c>
      <c r="N89">
        <v>11.5</v>
      </c>
      <c r="O89">
        <v>17.7</v>
      </c>
      <c r="P89">
        <v>22.2</v>
      </c>
      <c r="Q89">
        <v>22</v>
      </c>
      <c r="R89">
        <v>5.12</v>
      </c>
    </row>
    <row r="90" spans="1:18" x14ac:dyDescent="0.3">
      <c r="A90" s="1" t="s">
        <v>933</v>
      </c>
      <c r="B90" s="1" t="s">
        <v>129</v>
      </c>
      <c r="C90" s="1" t="s">
        <v>907</v>
      </c>
      <c r="D90" s="1" t="s">
        <v>170</v>
      </c>
      <c r="E90" s="1" t="s">
        <v>13</v>
      </c>
      <c r="F90" s="1"/>
      <c r="G90">
        <v>1</v>
      </c>
      <c r="H90" s="1" t="s">
        <v>392</v>
      </c>
      <c r="I90" s="1" t="s">
        <v>385</v>
      </c>
      <c r="J90">
        <v>1</v>
      </c>
      <c r="K90">
        <v>2</v>
      </c>
      <c r="L90">
        <v>211</v>
      </c>
      <c r="M90">
        <v>104.5</v>
      </c>
      <c r="N90">
        <v>15.1</v>
      </c>
      <c r="O90">
        <v>22.9</v>
      </c>
      <c r="P90">
        <v>29.1</v>
      </c>
      <c r="Q90">
        <v>21.7</v>
      </c>
      <c r="R90">
        <v>5.3</v>
      </c>
    </row>
    <row r="91" spans="1:18" x14ac:dyDescent="0.3">
      <c r="A91" s="1" t="s">
        <v>934</v>
      </c>
      <c r="B91" s="1" t="s">
        <v>140</v>
      </c>
      <c r="C91" s="1" t="s">
        <v>844</v>
      </c>
      <c r="D91" s="1" t="s">
        <v>173</v>
      </c>
      <c r="E91" s="1" t="s">
        <v>16</v>
      </c>
      <c r="F91" s="1"/>
      <c r="G91">
        <v>2</v>
      </c>
      <c r="H91" s="1" t="s">
        <v>383</v>
      </c>
      <c r="I91" s="1" t="s">
        <v>257</v>
      </c>
      <c r="J91">
        <v>3</v>
      </c>
      <c r="K91">
        <v>6</v>
      </c>
      <c r="L91">
        <v>213</v>
      </c>
      <c r="M91">
        <v>103.5</v>
      </c>
      <c r="N91">
        <v>2</v>
      </c>
      <c r="O91">
        <v>12.9</v>
      </c>
      <c r="P91">
        <v>29.1</v>
      </c>
      <c r="Q91">
        <v>21.6</v>
      </c>
      <c r="R91">
        <v>6.17</v>
      </c>
    </row>
    <row r="92" spans="1:18" x14ac:dyDescent="0.3">
      <c r="A92" s="1" t="s">
        <v>935</v>
      </c>
      <c r="B92" s="1" t="s">
        <v>936</v>
      </c>
      <c r="C92" s="1" t="s">
        <v>937</v>
      </c>
      <c r="D92" s="1" t="s">
        <v>169</v>
      </c>
      <c r="E92" s="1" t="s">
        <v>18</v>
      </c>
      <c r="F92" s="1"/>
      <c r="G92">
        <v>1</v>
      </c>
      <c r="H92" s="1" t="s">
        <v>388</v>
      </c>
      <c r="I92" s="1" t="s">
        <v>389</v>
      </c>
      <c r="J92">
        <v>27</v>
      </c>
      <c r="K92">
        <v>4</v>
      </c>
      <c r="L92">
        <v>231</v>
      </c>
      <c r="M92">
        <v>113.5</v>
      </c>
      <c r="N92">
        <v>12.1</v>
      </c>
      <c r="O92">
        <v>19.2</v>
      </c>
      <c r="P92">
        <v>26.6</v>
      </c>
      <c r="Q92">
        <v>21.6</v>
      </c>
      <c r="R92">
        <v>4.91</v>
      </c>
    </row>
    <row r="93" spans="1:18" x14ac:dyDescent="0.3">
      <c r="A93" s="1" t="s">
        <v>938</v>
      </c>
      <c r="B93" s="1" t="s">
        <v>129</v>
      </c>
      <c r="C93" s="1" t="s">
        <v>939</v>
      </c>
      <c r="D93" s="1" t="s">
        <v>228</v>
      </c>
      <c r="E93" s="1" t="s">
        <v>13</v>
      </c>
      <c r="F93" s="1"/>
      <c r="G93">
        <v>6</v>
      </c>
      <c r="H93" s="1" t="s">
        <v>408</v>
      </c>
      <c r="I93" s="1" t="s">
        <v>401</v>
      </c>
      <c r="J93">
        <v>18</v>
      </c>
      <c r="K93">
        <v>-7</v>
      </c>
      <c r="L93">
        <v>233.5</v>
      </c>
      <c r="M93">
        <v>120.3</v>
      </c>
      <c r="N93">
        <v>11.1</v>
      </c>
      <c r="O93">
        <v>23.4</v>
      </c>
      <c r="P93">
        <v>37.799999999999997</v>
      </c>
      <c r="Q93">
        <v>21.3</v>
      </c>
      <c r="R93">
        <v>4.26</v>
      </c>
    </row>
    <row r="94" spans="1:18" x14ac:dyDescent="0.3">
      <c r="A94" s="1" t="s">
        <v>940</v>
      </c>
      <c r="B94" s="1" t="s">
        <v>162</v>
      </c>
      <c r="C94" s="1" t="s">
        <v>941</v>
      </c>
      <c r="D94" s="1" t="s">
        <v>157</v>
      </c>
      <c r="E94" s="1" t="s">
        <v>21</v>
      </c>
      <c r="F94" s="1"/>
      <c r="G94">
        <v>1</v>
      </c>
      <c r="H94" s="1" t="s">
        <v>392</v>
      </c>
      <c r="I94" s="1" t="s">
        <v>385</v>
      </c>
      <c r="J94">
        <v>1</v>
      </c>
      <c r="K94">
        <v>2</v>
      </c>
      <c r="L94">
        <v>211</v>
      </c>
      <c r="M94">
        <v>104.5</v>
      </c>
      <c r="N94">
        <v>18.899999999999999</v>
      </c>
      <c r="O94">
        <v>25.8</v>
      </c>
      <c r="P94">
        <v>37.799999999999997</v>
      </c>
      <c r="Q94">
        <v>21.3</v>
      </c>
      <c r="R94">
        <v>3.8</v>
      </c>
    </row>
    <row r="95" spans="1:18" x14ac:dyDescent="0.3">
      <c r="A95" s="1" t="s">
        <v>942</v>
      </c>
      <c r="B95" s="1" t="s">
        <v>140</v>
      </c>
      <c r="C95" s="1" t="s">
        <v>943</v>
      </c>
      <c r="D95" s="1" t="s">
        <v>169</v>
      </c>
      <c r="E95" s="1" t="s">
        <v>16</v>
      </c>
      <c r="F95" s="1" t="s">
        <v>18</v>
      </c>
      <c r="G95">
        <v>1</v>
      </c>
      <c r="H95" s="1" t="s">
        <v>388</v>
      </c>
      <c r="I95" s="1" t="s">
        <v>389</v>
      </c>
      <c r="J95">
        <v>27</v>
      </c>
      <c r="K95">
        <v>4</v>
      </c>
      <c r="L95">
        <v>231</v>
      </c>
      <c r="M95">
        <v>113.5</v>
      </c>
      <c r="N95">
        <v>11.8</v>
      </c>
      <c r="O95">
        <v>18.8</v>
      </c>
      <c r="P95">
        <v>23</v>
      </c>
      <c r="Q95">
        <v>21</v>
      </c>
      <c r="R95">
        <v>4.78</v>
      </c>
    </row>
    <row r="96" spans="1:18" x14ac:dyDescent="0.3">
      <c r="A96" s="1" t="s">
        <v>944</v>
      </c>
      <c r="B96" s="1" t="s">
        <v>945</v>
      </c>
      <c r="C96" s="1" t="s">
        <v>946</v>
      </c>
      <c r="D96" s="1" t="s">
        <v>164</v>
      </c>
      <c r="E96" s="1" t="s">
        <v>21</v>
      </c>
      <c r="F96" s="1" t="s">
        <v>13</v>
      </c>
      <c r="G96">
        <v>1</v>
      </c>
      <c r="H96" s="1" t="s">
        <v>396</v>
      </c>
      <c r="I96" s="1" t="s">
        <v>397</v>
      </c>
      <c r="J96">
        <v>7</v>
      </c>
      <c r="K96">
        <v>2.5</v>
      </c>
      <c r="L96">
        <v>204.5</v>
      </c>
      <c r="M96">
        <v>101</v>
      </c>
      <c r="N96">
        <v>25.3</v>
      </c>
      <c r="O96">
        <v>30.7</v>
      </c>
      <c r="P96">
        <v>36.799999999999997</v>
      </c>
      <c r="Q96">
        <v>20.8</v>
      </c>
      <c r="R96">
        <v>3.59</v>
      </c>
    </row>
    <row r="97" spans="1:18" x14ac:dyDescent="0.3">
      <c r="A97" s="1" t="s">
        <v>947</v>
      </c>
      <c r="B97" s="1" t="s">
        <v>179</v>
      </c>
      <c r="C97" s="1" t="s">
        <v>948</v>
      </c>
      <c r="D97" s="1" t="s">
        <v>228</v>
      </c>
      <c r="E97" s="1" t="s">
        <v>13</v>
      </c>
      <c r="F97" s="1" t="s">
        <v>21</v>
      </c>
      <c r="G97">
        <v>1</v>
      </c>
      <c r="H97" s="1" t="s">
        <v>398</v>
      </c>
      <c r="I97" s="1" t="s">
        <v>251</v>
      </c>
      <c r="J97">
        <v>13</v>
      </c>
      <c r="K97">
        <v>2</v>
      </c>
      <c r="L97">
        <v>235.5</v>
      </c>
      <c r="M97">
        <v>116.8</v>
      </c>
      <c r="N97">
        <v>0.5</v>
      </c>
      <c r="O97">
        <v>16.100000000000001</v>
      </c>
      <c r="P97">
        <v>29.2</v>
      </c>
      <c r="Q97">
        <v>20.7</v>
      </c>
      <c r="R97">
        <v>4.1399999999999997</v>
      </c>
    </row>
    <row r="98" spans="1:18" x14ac:dyDescent="0.3">
      <c r="A98" s="1" t="s">
        <v>949</v>
      </c>
      <c r="B98" s="1" t="s">
        <v>142</v>
      </c>
      <c r="C98" s="1" t="s">
        <v>950</v>
      </c>
      <c r="D98" s="1" t="s">
        <v>150</v>
      </c>
      <c r="E98" s="1" t="s">
        <v>14</v>
      </c>
      <c r="F98" s="1" t="s">
        <v>16</v>
      </c>
      <c r="G98">
        <v>1</v>
      </c>
      <c r="H98" s="1" t="s">
        <v>427</v>
      </c>
      <c r="I98" s="1" t="s">
        <v>428</v>
      </c>
      <c r="J98">
        <v>23</v>
      </c>
      <c r="K98">
        <v>-5.5</v>
      </c>
      <c r="L98">
        <v>222.5</v>
      </c>
      <c r="M98">
        <v>114</v>
      </c>
      <c r="N98">
        <v>9.1</v>
      </c>
      <c r="O98">
        <v>23.1</v>
      </c>
      <c r="P98">
        <v>39.700000000000003</v>
      </c>
      <c r="Q98">
        <v>20.6</v>
      </c>
      <c r="R98">
        <v>3.74</v>
      </c>
    </row>
    <row r="99" spans="1:18" x14ac:dyDescent="0.3">
      <c r="A99" s="1" t="s">
        <v>951</v>
      </c>
      <c r="B99" s="1" t="s">
        <v>182</v>
      </c>
      <c r="C99" s="1" t="s">
        <v>245</v>
      </c>
      <c r="D99" s="1" t="s">
        <v>171</v>
      </c>
      <c r="E99" s="1" t="s">
        <v>13</v>
      </c>
      <c r="F99" s="1"/>
      <c r="G99">
        <v>1</v>
      </c>
      <c r="H99" s="1" t="s">
        <v>392</v>
      </c>
      <c r="I99" s="1" t="s">
        <v>385</v>
      </c>
      <c r="J99">
        <v>5</v>
      </c>
      <c r="K99">
        <v>2</v>
      </c>
      <c r="L99">
        <v>211</v>
      </c>
      <c r="M99">
        <v>104.5</v>
      </c>
      <c r="N99">
        <v>4.5</v>
      </c>
      <c r="O99">
        <v>21.1</v>
      </c>
      <c r="P99">
        <v>35.700000000000003</v>
      </c>
      <c r="Q99">
        <v>20.6</v>
      </c>
      <c r="R99">
        <v>4.58</v>
      </c>
    </row>
    <row r="100" spans="1:18" x14ac:dyDescent="0.3">
      <c r="A100" s="1" t="s">
        <v>952</v>
      </c>
      <c r="B100" s="1" t="s">
        <v>181</v>
      </c>
      <c r="C100" s="1" t="s">
        <v>953</v>
      </c>
      <c r="D100" s="1" t="s">
        <v>203</v>
      </c>
      <c r="E100" s="1" t="s">
        <v>13</v>
      </c>
      <c r="F100" s="1" t="s">
        <v>14</v>
      </c>
      <c r="G100">
        <v>1</v>
      </c>
      <c r="H100" s="1" t="s">
        <v>408</v>
      </c>
      <c r="I100" s="1" t="s">
        <v>401</v>
      </c>
      <c r="J100">
        <v>30</v>
      </c>
      <c r="K100">
        <v>-7</v>
      </c>
      <c r="L100">
        <v>233.5</v>
      </c>
      <c r="M100">
        <v>120.3</v>
      </c>
      <c r="N100">
        <v>15.4</v>
      </c>
      <c r="O100">
        <v>23.8</v>
      </c>
      <c r="P100">
        <v>39.6</v>
      </c>
      <c r="Q100">
        <v>20.3</v>
      </c>
      <c r="R100">
        <v>4.2300000000000004</v>
      </c>
    </row>
    <row r="101" spans="1:18" x14ac:dyDescent="0.3">
      <c r="A101" s="1" t="s">
        <v>954</v>
      </c>
      <c r="B101" s="1" t="s">
        <v>140</v>
      </c>
      <c r="C101" s="1" t="s">
        <v>955</v>
      </c>
      <c r="D101" s="1" t="s">
        <v>158</v>
      </c>
      <c r="E101" s="1" t="s">
        <v>18</v>
      </c>
      <c r="F101" s="1"/>
      <c r="G101">
        <v>1</v>
      </c>
      <c r="H101" s="1" t="s">
        <v>382</v>
      </c>
      <c r="I101" s="1" t="s">
        <v>381</v>
      </c>
      <c r="J101">
        <v>29</v>
      </c>
      <c r="K101">
        <v>5.5</v>
      </c>
      <c r="L101">
        <v>225</v>
      </c>
      <c r="M101">
        <v>109.8</v>
      </c>
      <c r="N101">
        <v>11.1</v>
      </c>
      <c r="O101">
        <v>19.399999999999999</v>
      </c>
      <c r="P101">
        <v>32.9</v>
      </c>
      <c r="Q101">
        <v>20.3</v>
      </c>
      <c r="R101">
        <v>4.1500000000000004</v>
      </c>
    </row>
    <row r="102" spans="1:18" x14ac:dyDescent="0.3">
      <c r="A102" s="1" t="s">
        <v>956</v>
      </c>
      <c r="B102" s="1" t="s">
        <v>815</v>
      </c>
      <c r="C102" s="1" t="s">
        <v>957</v>
      </c>
      <c r="D102" s="1" t="s">
        <v>157</v>
      </c>
      <c r="E102" s="1" t="s">
        <v>14</v>
      </c>
      <c r="F102" s="1" t="s">
        <v>13</v>
      </c>
      <c r="G102">
        <v>1</v>
      </c>
      <c r="H102" s="1" t="s">
        <v>396</v>
      </c>
      <c r="I102" s="1" t="s">
        <v>397</v>
      </c>
      <c r="J102">
        <v>7</v>
      </c>
      <c r="K102">
        <v>2.5</v>
      </c>
      <c r="L102">
        <v>204.5</v>
      </c>
      <c r="M102">
        <v>101</v>
      </c>
      <c r="N102">
        <v>6.2</v>
      </c>
      <c r="O102">
        <v>25.7</v>
      </c>
      <c r="P102">
        <v>57.6</v>
      </c>
      <c r="Q102">
        <v>20.2</v>
      </c>
      <c r="R102">
        <v>3.61</v>
      </c>
    </row>
    <row r="103" spans="1:18" x14ac:dyDescent="0.3">
      <c r="A103" s="1" t="s">
        <v>958</v>
      </c>
      <c r="B103" s="1" t="s">
        <v>154</v>
      </c>
      <c r="C103" s="1" t="s">
        <v>206</v>
      </c>
      <c r="D103" s="1" t="s">
        <v>167</v>
      </c>
      <c r="E103" s="1" t="s">
        <v>14</v>
      </c>
      <c r="F103" s="1" t="s">
        <v>13</v>
      </c>
      <c r="G103">
        <v>2</v>
      </c>
      <c r="H103" s="1" t="s">
        <v>401</v>
      </c>
      <c r="I103" s="1" t="s">
        <v>408</v>
      </c>
      <c r="J103">
        <v>24</v>
      </c>
      <c r="K103">
        <v>7</v>
      </c>
      <c r="L103">
        <v>233.5</v>
      </c>
      <c r="M103">
        <v>113.3</v>
      </c>
      <c r="N103">
        <v>9.4</v>
      </c>
      <c r="O103">
        <v>19.600000000000001</v>
      </c>
      <c r="P103">
        <v>24.5</v>
      </c>
      <c r="Q103">
        <v>20.100000000000001</v>
      </c>
      <c r="R103">
        <v>4.38</v>
      </c>
    </row>
    <row r="104" spans="1:18" x14ac:dyDescent="0.3">
      <c r="A104" s="1" t="s">
        <v>959</v>
      </c>
      <c r="B104" s="1" t="s">
        <v>138</v>
      </c>
      <c r="C104" s="1" t="s">
        <v>960</v>
      </c>
      <c r="D104" s="1" t="s">
        <v>157</v>
      </c>
      <c r="E104" s="1" t="s">
        <v>18</v>
      </c>
      <c r="F104" s="1"/>
      <c r="G104">
        <v>1</v>
      </c>
      <c r="H104" s="1" t="s">
        <v>381</v>
      </c>
      <c r="I104" s="1" t="s">
        <v>382</v>
      </c>
      <c r="J104">
        <v>9</v>
      </c>
      <c r="K104">
        <v>-5.5</v>
      </c>
      <c r="L104">
        <v>225</v>
      </c>
      <c r="M104">
        <v>115.3</v>
      </c>
      <c r="N104">
        <v>20.2</v>
      </c>
      <c r="O104">
        <v>28.8</v>
      </c>
      <c r="P104">
        <v>36.6</v>
      </c>
      <c r="Q104">
        <v>20</v>
      </c>
      <c r="R104">
        <v>3.57</v>
      </c>
    </row>
    <row r="105" spans="1:18" x14ac:dyDescent="0.3">
      <c r="A105" s="1" t="s">
        <v>961</v>
      </c>
      <c r="B105" s="1" t="s">
        <v>962</v>
      </c>
      <c r="C105" s="1" t="s">
        <v>963</v>
      </c>
      <c r="D105" s="1" t="s">
        <v>151</v>
      </c>
      <c r="E105" s="1" t="s">
        <v>13</v>
      </c>
      <c r="F105" s="1"/>
      <c r="G105">
        <v>3</v>
      </c>
      <c r="H105" s="1" t="s">
        <v>410</v>
      </c>
      <c r="I105" s="1" t="s">
        <v>424</v>
      </c>
      <c r="J105">
        <v>1</v>
      </c>
      <c r="K105">
        <v>3</v>
      </c>
      <c r="L105">
        <v>223</v>
      </c>
      <c r="M105">
        <v>110</v>
      </c>
      <c r="N105">
        <v>15.8</v>
      </c>
      <c r="O105">
        <v>28</v>
      </c>
      <c r="P105">
        <v>38.700000000000003</v>
      </c>
      <c r="Q105">
        <v>19.600000000000001</v>
      </c>
      <c r="R105">
        <v>3.33</v>
      </c>
    </row>
    <row r="106" spans="1:18" x14ac:dyDescent="0.3">
      <c r="A106" s="1" t="s">
        <v>964</v>
      </c>
      <c r="B106" s="1" t="s">
        <v>182</v>
      </c>
      <c r="C106" s="1" t="s">
        <v>965</v>
      </c>
      <c r="D106" s="1" t="s">
        <v>158</v>
      </c>
      <c r="E106" s="1" t="s">
        <v>13</v>
      </c>
      <c r="F106" s="1" t="s">
        <v>14</v>
      </c>
      <c r="G106">
        <v>2</v>
      </c>
      <c r="H106" s="1" t="s">
        <v>389</v>
      </c>
      <c r="I106" s="1" t="s">
        <v>388</v>
      </c>
      <c r="J106">
        <v>11</v>
      </c>
      <c r="K106">
        <v>-4</v>
      </c>
      <c r="L106">
        <v>231</v>
      </c>
      <c r="M106">
        <v>117.5</v>
      </c>
      <c r="N106">
        <v>15.9</v>
      </c>
      <c r="O106">
        <v>24.7</v>
      </c>
      <c r="P106">
        <v>36.799999999999997</v>
      </c>
      <c r="Q106">
        <v>19.5</v>
      </c>
      <c r="R106">
        <v>3.97</v>
      </c>
    </row>
    <row r="107" spans="1:18" x14ac:dyDescent="0.3">
      <c r="A107" s="1" t="s">
        <v>966</v>
      </c>
      <c r="B107" s="1" t="s">
        <v>141</v>
      </c>
      <c r="C107" s="1" t="s">
        <v>967</v>
      </c>
      <c r="D107" s="1" t="s">
        <v>167</v>
      </c>
      <c r="E107" s="1" t="s">
        <v>14</v>
      </c>
      <c r="F107" s="1" t="s">
        <v>13</v>
      </c>
      <c r="G107">
        <v>1</v>
      </c>
      <c r="H107" s="1" t="s">
        <v>385</v>
      </c>
      <c r="I107" s="1" t="s">
        <v>392</v>
      </c>
      <c r="J107">
        <v>11</v>
      </c>
      <c r="K107">
        <v>-2</v>
      </c>
      <c r="L107">
        <v>211</v>
      </c>
      <c r="M107">
        <v>106.5</v>
      </c>
      <c r="N107">
        <v>8.4</v>
      </c>
      <c r="O107">
        <v>17.600000000000001</v>
      </c>
      <c r="P107">
        <v>26.9</v>
      </c>
      <c r="Q107">
        <v>19.5</v>
      </c>
      <c r="R107">
        <v>4.25</v>
      </c>
    </row>
    <row r="108" spans="1:18" x14ac:dyDescent="0.3">
      <c r="A108" s="1" t="s">
        <v>968</v>
      </c>
      <c r="B108" s="1" t="s">
        <v>969</v>
      </c>
      <c r="C108" s="1" t="s">
        <v>899</v>
      </c>
      <c r="D108" s="1" t="s">
        <v>169</v>
      </c>
      <c r="E108" s="1" t="s">
        <v>14</v>
      </c>
      <c r="F108" s="1" t="s">
        <v>16</v>
      </c>
      <c r="G108">
        <v>1</v>
      </c>
      <c r="H108" s="1" t="s">
        <v>401</v>
      </c>
      <c r="I108" s="1" t="s">
        <v>408</v>
      </c>
      <c r="J108">
        <v>4</v>
      </c>
      <c r="K108">
        <v>7</v>
      </c>
      <c r="L108">
        <v>233.5</v>
      </c>
      <c r="M108">
        <v>113.3</v>
      </c>
      <c r="N108">
        <v>15.8</v>
      </c>
      <c r="O108">
        <v>20.5</v>
      </c>
      <c r="P108">
        <v>26.4</v>
      </c>
      <c r="Q108">
        <v>19.5</v>
      </c>
      <c r="R108">
        <v>4.4400000000000004</v>
      </c>
    </row>
    <row r="109" spans="1:18" x14ac:dyDescent="0.3">
      <c r="A109" s="1" t="s">
        <v>970</v>
      </c>
      <c r="B109" s="1" t="s">
        <v>140</v>
      </c>
      <c r="C109" s="1" t="s">
        <v>971</v>
      </c>
      <c r="D109" s="1" t="s">
        <v>169</v>
      </c>
      <c r="E109" s="1" t="s">
        <v>14</v>
      </c>
      <c r="F109" s="1"/>
      <c r="G109">
        <v>1</v>
      </c>
      <c r="H109" s="1" t="s">
        <v>381</v>
      </c>
      <c r="I109" s="1" t="s">
        <v>382</v>
      </c>
      <c r="J109">
        <v>26</v>
      </c>
      <c r="K109">
        <v>-5.5</v>
      </c>
      <c r="L109">
        <v>225</v>
      </c>
      <c r="M109">
        <v>115.3</v>
      </c>
      <c r="N109">
        <v>14.8</v>
      </c>
      <c r="O109">
        <v>21.3</v>
      </c>
      <c r="P109">
        <v>27.3</v>
      </c>
      <c r="Q109">
        <v>19.399999999999999</v>
      </c>
      <c r="R109">
        <v>4.42</v>
      </c>
    </row>
    <row r="110" spans="1:18" x14ac:dyDescent="0.3">
      <c r="A110" s="1" t="s">
        <v>972</v>
      </c>
      <c r="B110" s="1" t="s">
        <v>129</v>
      </c>
      <c r="C110" s="1" t="s">
        <v>973</v>
      </c>
      <c r="D110" s="1" t="s">
        <v>207</v>
      </c>
      <c r="E110" s="1" t="s">
        <v>18</v>
      </c>
      <c r="F110" s="1" t="s">
        <v>16</v>
      </c>
      <c r="G110">
        <v>2</v>
      </c>
      <c r="H110" s="1" t="s">
        <v>397</v>
      </c>
      <c r="I110" s="1" t="s">
        <v>396</v>
      </c>
      <c r="J110">
        <v>23</v>
      </c>
      <c r="K110">
        <v>-2.5</v>
      </c>
      <c r="L110">
        <v>204.5</v>
      </c>
      <c r="M110">
        <v>103.5</v>
      </c>
      <c r="N110">
        <v>17.8</v>
      </c>
      <c r="O110">
        <v>21.2</v>
      </c>
      <c r="P110">
        <v>24.5</v>
      </c>
      <c r="Q110">
        <v>18.899999999999999</v>
      </c>
      <c r="R110">
        <v>4.3899999999999997</v>
      </c>
    </row>
    <row r="111" spans="1:18" x14ac:dyDescent="0.3">
      <c r="A111" s="1" t="s">
        <v>974</v>
      </c>
      <c r="B111" s="1" t="s">
        <v>129</v>
      </c>
      <c r="C111" s="1" t="s">
        <v>975</v>
      </c>
      <c r="D111" s="1" t="s">
        <v>170</v>
      </c>
      <c r="E111" s="1" t="s">
        <v>16</v>
      </c>
      <c r="F111" s="1" t="s">
        <v>18</v>
      </c>
      <c r="G111">
        <v>1</v>
      </c>
      <c r="H111" s="1" t="s">
        <v>401</v>
      </c>
      <c r="I111" s="1" t="s">
        <v>408</v>
      </c>
      <c r="J111">
        <v>4</v>
      </c>
      <c r="K111">
        <v>7</v>
      </c>
      <c r="L111">
        <v>233.5</v>
      </c>
      <c r="M111">
        <v>113.3</v>
      </c>
      <c r="N111">
        <v>11.3</v>
      </c>
      <c r="O111">
        <v>23.5</v>
      </c>
      <c r="P111">
        <v>43.5</v>
      </c>
      <c r="Q111">
        <v>18.899999999999999</v>
      </c>
      <c r="R111">
        <v>4.5999999999999996</v>
      </c>
    </row>
    <row r="112" spans="1:18" x14ac:dyDescent="0.3">
      <c r="A112" s="1" t="s">
        <v>976</v>
      </c>
      <c r="B112" s="1" t="s">
        <v>977</v>
      </c>
      <c r="C112" s="1" t="s">
        <v>978</v>
      </c>
      <c r="D112" s="1" t="s">
        <v>175</v>
      </c>
      <c r="E112" s="1" t="s">
        <v>18</v>
      </c>
      <c r="F112" s="1"/>
      <c r="G112">
        <v>2</v>
      </c>
      <c r="H112" s="1" t="s">
        <v>408</v>
      </c>
      <c r="I112" s="1" t="s">
        <v>401</v>
      </c>
      <c r="J112">
        <v>30</v>
      </c>
      <c r="K112">
        <v>-7</v>
      </c>
      <c r="L112">
        <v>233.5</v>
      </c>
      <c r="M112">
        <v>120.3</v>
      </c>
      <c r="N112">
        <v>5.4</v>
      </c>
      <c r="O112">
        <v>12.8</v>
      </c>
      <c r="P112">
        <v>20.100000000000001</v>
      </c>
      <c r="Q112">
        <v>18.899999999999999</v>
      </c>
      <c r="R112">
        <v>5.0999999999999996</v>
      </c>
    </row>
    <row r="113" spans="1:18" x14ac:dyDescent="0.3">
      <c r="A113" s="1" t="s">
        <v>979</v>
      </c>
      <c r="B113" s="1" t="s">
        <v>980</v>
      </c>
      <c r="C113" s="1" t="s">
        <v>288</v>
      </c>
      <c r="D113" s="1" t="s">
        <v>203</v>
      </c>
      <c r="E113" s="1" t="s">
        <v>13</v>
      </c>
      <c r="F113" s="1"/>
      <c r="G113">
        <v>1</v>
      </c>
      <c r="H113" s="1" t="s">
        <v>398</v>
      </c>
      <c r="I113" s="1" t="s">
        <v>251</v>
      </c>
      <c r="J113">
        <v>13</v>
      </c>
      <c r="K113">
        <v>2</v>
      </c>
      <c r="L113">
        <v>235.5</v>
      </c>
      <c r="M113">
        <v>116.8</v>
      </c>
      <c r="N113">
        <v>5.6</v>
      </c>
      <c r="O113">
        <v>19.8</v>
      </c>
      <c r="P113">
        <v>30.6</v>
      </c>
      <c r="Q113">
        <v>18.899999999999999</v>
      </c>
      <c r="R113">
        <v>3.94</v>
      </c>
    </row>
    <row r="114" spans="1:18" x14ac:dyDescent="0.3">
      <c r="A114" s="1" t="s">
        <v>981</v>
      </c>
      <c r="B114" s="1" t="s">
        <v>273</v>
      </c>
      <c r="C114" s="1" t="s">
        <v>274</v>
      </c>
      <c r="D114" s="1" t="s">
        <v>165</v>
      </c>
      <c r="E114" s="1" t="s">
        <v>21</v>
      </c>
      <c r="F114" s="1"/>
      <c r="G114">
        <v>0</v>
      </c>
      <c r="H114" s="1" t="s">
        <v>257</v>
      </c>
      <c r="I114" s="1" t="s">
        <v>383</v>
      </c>
      <c r="J114">
        <v>23</v>
      </c>
      <c r="K114">
        <v>-6</v>
      </c>
      <c r="L114">
        <v>213</v>
      </c>
      <c r="M114">
        <v>109.5</v>
      </c>
      <c r="N114">
        <v>9.6</v>
      </c>
      <c r="O114">
        <v>12.9</v>
      </c>
      <c r="P114">
        <v>21.4</v>
      </c>
      <c r="Q114">
        <v>18.399999999999999</v>
      </c>
      <c r="R114">
        <v>4.59</v>
      </c>
    </row>
    <row r="115" spans="1:18" x14ac:dyDescent="0.3">
      <c r="A115" s="1" t="s">
        <v>982</v>
      </c>
      <c r="B115" s="1" t="s">
        <v>138</v>
      </c>
      <c r="C115" s="1" t="s">
        <v>983</v>
      </c>
      <c r="D115" s="1" t="s">
        <v>165</v>
      </c>
      <c r="E115" s="1" t="s">
        <v>18</v>
      </c>
      <c r="F115" s="1" t="s">
        <v>16</v>
      </c>
      <c r="G115">
        <v>11</v>
      </c>
      <c r="H115" s="1" t="s">
        <v>401</v>
      </c>
      <c r="I115" s="1" t="s">
        <v>408</v>
      </c>
      <c r="J115">
        <v>27</v>
      </c>
      <c r="K115">
        <v>7</v>
      </c>
      <c r="L115">
        <v>233.5</v>
      </c>
      <c r="M115">
        <v>113.3</v>
      </c>
      <c r="N115">
        <v>10.7</v>
      </c>
      <c r="O115">
        <v>19.5</v>
      </c>
      <c r="P115">
        <v>32.1</v>
      </c>
      <c r="Q115">
        <v>18.3</v>
      </c>
      <c r="R115">
        <v>4.57</v>
      </c>
    </row>
    <row r="116" spans="1:18" x14ac:dyDescent="0.3">
      <c r="A116" s="1" t="s">
        <v>984</v>
      </c>
      <c r="B116" s="1" t="s">
        <v>149</v>
      </c>
      <c r="C116" s="1" t="s">
        <v>277</v>
      </c>
      <c r="D116" s="1" t="s">
        <v>173</v>
      </c>
      <c r="E116" s="1" t="s">
        <v>14</v>
      </c>
      <c r="F116" s="1"/>
      <c r="G116">
        <v>0</v>
      </c>
      <c r="H116" s="1" t="s">
        <v>257</v>
      </c>
      <c r="I116" s="1" t="s">
        <v>383</v>
      </c>
      <c r="J116">
        <v>27</v>
      </c>
      <c r="K116">
        <v>-6</v>
      </c>
      <c r="L116">
        <v>213</v>
      </c>
      <c r="M116">
        <v>109.5</v>
      </c>
      <c r="N116">
        <v>6.7</v>
      </c>
      <c r="O116">
        <v>16.5</v>
      </c>
      <c r="P116">
        <v>24.5</v>
      </c>
      <c r="Q116">
        <v>18.2</v>
      </c>
      <c r="R116">
        <v>5.19</v>
      </c>
    </row>
    <row r="117" spans="1:18" x14ac:dyDescent="0.3">
      <c r="A117" s="1" t="s">
        <v>985</v>
      </c>
      <c r="B117" s="1" t="s">
        <v>172</v>
      </c>
      <c r="C117" s="1" t="s">
        <v>986</v>
      </c>
      <c r="D117" s="1" t="s">
        <v>161</v>
      </c>
      <c r="E117" s="1" t="s">
        <v>14</v>
      </c>
      <c r="F117" s="1"/>
      <c r="G117">
        <v>1</v>
      </c>
      <c r="H117" s="1" t="s">
        <v>401</v>
      </c>
      <c r="I117" s="1" t="s">
        <v>408</v>
      </c>
      <c r="J117">
        <v>29</v>
      </c>
      <c r="K117">
        <v>7</v>
      </c>
      <c r="L117">
        <v>233.5</v>
      </c>
      <c r="M117">
        <v>113.3</v>
      </c>
      <c r="N117">
        <v>8.4</v>
      </c>
      <c r="O117">
        <v>19.899999999999999</v>
      </c>
      <c r="P117">
        <v>31.9</v>
      </c>
      <c r="Q117">
        <v>18.2</v>
      </c>
      <c r="R117">
        <v>4.34</v>
      </c>
    </row>
    <row r="118" spans="1:18" x14ac:dyDescent="0.3">
      <c r="A118" s="1" t="s">
        <v>987</v>
      </c>
      <c r="B118" s="1" t="s">
        <v>129</v>
      </c>
      <c r="C118" s="1" t="s">
        <v>267</v>
      </c>
      <c r="D118" s="1" t="s">
        <v>166</v>
      </c>
      <c r="E118" s="1" t="s">
        <v>14</v>
      </c>
      <c r="F118" s="1" t="s">
        <v>16</v>
      </c>
      <c r="G118">
        <v>0</v>
      </c>
      <c r="H118" s="1" t="s">
        <v>251</v>
      </c>
      <c r="I118" s="1" t="s">
        <v>398</v>
      </c>
      <c r="J118">
        <v>1</v>
      </c>
      <c r="K118">
        <v>-2</v>
      </c>
      <c r="L118">
        <v>235.5</v>
      </c>
      <c r="M118">
        <v>118.8</v>
      </c>
      <c r="N118">
        <v>7.6</v>
      </c>
      <c r="O118">
        <v>15.2</v>
      </c>
      <c r="P118">
        <v>22.3</v>
      </c>
      <c r="Q118">
        <v>17.8</v>
      </c>
      <c r="R118">
        <v>4.9400000000000004</v>
      </c>
    </row>
    <row r="119" spans="1:18" x14ac:dyDescent="0.3">
      <c r="A119" s="1" t="s">
        <v>988</v>
      </c>
      <c r="B119" s="1" t="s">
        <v>129</v>
      </c>
      <c r="C119" s="1" t="s">
        <v>767</v>
      </c>
      <c r="D119" s="1" t="s">
        <v>161</v>
      </c>
      <c r="E119" s="1" t="s">
        <v>21</v>
      </c>
      <c r="F119" s="1"/>
      <c r="G119">
        <v>1</v>
      </c>
      <c r="H119" s="1" t="s">
        <v>388</v>
      </c>
      <c r="I119" s="1" t="s">
        <v>389</v>
      </c>
      <c r="J119">
        <v>19</v>
      </c>
      <c r="K119">
        <v>4</v>
      </c>
      <c r="L119">
        <v>231</v>
      </c>
      <c r="M119">
        <v>113.5</v>
      </c>
      <c r="N119">
        <v>4.5</v>
      </c>
      <c r="O119">
        <v>9.5</v>
      </c>
      <c r="P119">
        <v>14.9</v>
      </c>
      <c r="Q119">
        <v>17.7</v>
      </c>
      <c r="R119">
        <v>4.21</v>
      </c>
    </row>
    <row r="120" spans="1:18" x14ac:dyDescent="0.3">
      <c r="A120" s="1" t="s">
        <v>989</v>
      </c>
      <c r="B120" s="1" t="s">
        <v>149</v>
      </c>
      <c r="C120" s="1" t="s">
        <v>990</v>
      </c>
      <c r="D120" s="1" t="s">
        <v>158</v>
      </c>
      <c r="E120" s="1" t="s">
        <v>14</v>
      </c>
      <c r="F120" s="1"/>
      <c r="G120">
        <v>3</v>
      </c>
      <c r="H120" s="1" t="s">
        <v>392</v>
      </c>
      <c r="I120" s="1" t="s">
        <v>385</v>
      </c>
      <c r="J120">
        <v>26</v>
      </c>
      <c r="K120">
        <v>2</v>
      </c>
      <c r="L120">
        <v>211</v>
      </c>
      <c r="M120">
        <v>104.5</v>
      </c>
      <c r="N120">
        <v>17</v>
      </c>
      <c r="O120">
        <v>23.3</v>
      </c>
      <c r="P120">
        <v>29.8</v>
      </c>
      <c r="Q120">
        <v>17.7</v>
      </c>
      <c r="R120">
        <v>3.6</v>
      </c>
    </row>
    <row r="121" spans="1:18" x14ac:dyDescent="0.3">
      <c r="A121" s="1" t="s">
        <v>991</v>
      </c>
      <c r="B121" s="1" t="s">
        <v>160</v>
      </c>
      <c r="C121" s="1" t="s">
        <v>992</v>
      </c>
      <c r="D121" s="1" t="s">
        <v>228</v>
      </c>
      <c r="E121" s="1" t="s">
        <v>13</v>
      </c>
      <c r="F121" s="1" t="s">
        <v>21</v>
      </c>
      <c r="G121">
        <v>1</v>
      </c>
      <c r="H121" s="1" t="s">
        <v>396</v>
      </c>
      <c r="I121" s="1" t="s">
        <v>397</v>
      </c>
      <c r="J121">
        <v>3</v>
      </c>
      <c r="K121">
        <v>2.5</v>
      </c>
      <c r="L121">
        <v>204.5</v>
      </c>
      <c r="M121">
        <v>101</v>
      </c>
      <c r="N121">
        <v>14.9</v>
      </c>
      <c r="O121">
        <v>21.7</v>
      </c>
      <c r="P121">
        <v>28.2</v>
      </c>
      <c r="Q121">
        <v>17.7</v>
      </c>
      <c r="R121">
        <v>3.53</v>
      </c>
    </row>
    <row r="122" spans="1:18" x14ac:dyDescent="0.3">
      <c r="A122" s="1" t="s">
        <v>993</v>
      </c>
      <c r="B122" s="1" t="s">
        <v>994</v>
      </c>
      <c r="C122" s="1" t="s">
        <v>995</v>
      </c>
      <c r="D122" s="1" t="s">
        <v>165</v>
      </c>
      <c r="E122" s="1" t="s">
        <v>13</v>
      </c>
      <c r="F122" s="1" t="s">
        <v>14</v>
      </c>
      <c r="G122">
        <v>8</v>
      </c>
      <c r="H122" s="1" t="s">
        <v>427</v>
      </c>
      <c r="I122" s="1" t="s">
        <v>428</v>
      </c>
      <c r="J122">
        <v>5</v>
      </c>
      <c r="K122">
        <v>-5.5</v>
      </c>
      <c r="L122">
        <v>222.5</v>
      </c>
      <c r="M122">
        <v>114</v>
      </c>
      <c r="N122">
        <v>8</v>
      </c>
      <c r="O122">
        <v>13.8</v>
      </c>
      <c r="P122">
        <v>22.1</v>
      </c>
      <c r="Q122">
        <v>17.2</v>
      </c>
      <c r="R122">
        <v>4.3099999999999996</v>
      </c>
    </row>
    <row r="123" spans="1:18" x14ac:dyDescent="0.3">
      <c r="A123" s="1" t="s">
        <v>996</v>
      </c>
      <c r="B123" s="1" t="s">
        <v>129</v>
      </c>
      <c r="C123" s="1" t="s">
        <v>997</v>
      </c>
      <c r="D123" s="1" t="s">
        <v>168</v>
      </c>
      <c r="E123" s="1" t="s">
        <v>14</v>
      </c>
      <c r="F123" s="1" t="s">
        <v>16</v>
      </c>
      <c r="G123">
        <v>2</v>
      </c>
      <c r="H123" s="1" t="s">
        <v>424</v>
      </c>
      <c r="I123" s="1" t="s">
        <v>410</v>
      </c>
      <c r="J123">
        <v>2</v>
      </c>
      <c r="K123">
        <v>-3</v>
      </c>
      <c r="L123">
        <v>223</v>
      </c>
      <c r="M123">
        <v>113</v>
      </c>
      <c r="N123">
        <v>13.1</v>
      </c>
      <c r="O123">
        <v>18.8</v>
      </c>
      <c r="P123">
        <v>24.2</v>
      </c>
      <c r="Q123">
        <v>17.2</v>
      </c>
      <c r="R123">
        <v>3.67</v>
      </c>
    </row>
    <row r="124" spans="1:18" x14ac:dyDescent="0.3">
      <c r="A124" s="1" t="s">
        <v>998</v>
      </c>
      <c r="B124" s="1" t="s">
        <v>141</v>
      </c>
      <c r="C124" s="1" t="s">
        <v>999</v>
      </c>
      <c r="D124" s="1" t="s">
        <v>165</v>
      </c>
      <c r="E124" s="1" t="s">
        <v>13</v>
      </c>
      <c r="F124" s="1"/>
      <c r="G124">
        <v>1</v>
      </c>
      <c r="H124" s="1" t="s">
        <v>401</v>
      </c>
      <c r="I124" s="1" t="s">
        <v>408</v>
      </c>
      <c r="J124">
        <v>24</v>
      </c>
      <c r="K124">
        <v>7</v>
      </c>
      <c r="L124">
        <v>233.5</v>
      </c>
      <c r="M124">
        <v>113.3</v>
      </c>
      <c r="N124">
        <v>13.3</v>
      </c>
      <c r="O124">
        <v>22.5</v>
      </c>
      <c r="P124">
        <v>31.6</v>
      </c>
      <c r="Q124">
        <v>17.100000000000001</v>
      </c>
      <c r="R124">
        <v>4.2699999999999996</v>
      </c>
    </row>
    <row r="125" spans="1:18" x14ac:dyDescent="0.3">
      <c r="A125" s="1" t="s">
        <v>1000</v>
      </c>
      <c r="B125" s="1" t="s">
        <v>142</v>
      </c>
      <c r="C125" s="1" t="s">
        <v>1001</v>
      </c>
      <c r="D125" s="1" t="s">
        <v>203</v>
      </c>
      <c r="E125" s="1" t="s">
        <v>21</v>
      </c>
      <c r="F125" s="1"/>
      <c r="G125">
        <v>1</v>
      </c>
      <c r="H125" s="1" t="s">
        <v>428</v>
      </c>
      <c r="I125" s="1" t="s">
        <v>427</v>
      </c>
      <c r="J125">
        <v>15</v>
      </c>
      <c r="K125">
        <v>5.5</v>
      </c>
      <c r="L125">
        <v>222.5</v>
      </c>
      <c r="M125">
        <v>108.5</v>
      </c>
      <c r="N125">
        <v>8.1</v>
      </c>
      <c r="O125">
        <v>17.100000000000001</v>
      </c>
      <c r="P125">
        <v>23.5</v>
      </c>
      <c r="Q125">
        <v>17</v>
      </c>
      <c r="R125">
        <v>3.54</v>
      </c>
    </row>
    <row r="126" spans="1:18" x14ac:dyDescent="0.3">
      <c r="A126" s="1" t="s">
        <v>1002</v>
      </c>
      <c r="B126" s="1" t="s">
        <v>162</v>
      </c>
      <c r="C126" s="1" t="s">
        <v>1003</v>
      </c>
      <c r="D126" s="1" t="s">
        <v>174</v>
      </c>
      <c r="E126" s="1" t="s">
        <v>14</v>
      </c>
      <c r="F126" s="1"/>
      <c r="G126">
        <v>1</v>
      </c>
      <c r="H126" s="1" t="s">
        <v>408</v>
      </c>
      <c r="I126" s="1" t="s">
        <v>401</v>
      </c>
      <c r="J126">
        <v>18</v>
      </c>
      <c r="K126">
        <v>-7</v>
      </c>
      <c r="L126">
        <v>233.5</v>
      </c>
      <c r="M126">
        <v>120.3</v>
      </c>
      <c r="N126">
        <v>13.9</v>
      </c>
      <c r="O126">
        <v>15.2</v>
      </c>
      <c r="P126">
        <v>16.2</v>
      </c>
      <c r="Q126">
        <v>16.899999999999999</v>
      </c>
      <c r="R126">
        <v>4.34</v>
      </c>
    </row>
    <row r="127" spans="1:18" x14ac:dyDescent="0.3">
      <c r="A127" s="1" t="s">
        <v>1004</v>
      </c>
      <c r="B127" s="1" t="s">
        <v>141</v>
      </c>
      <c r="C127" s="1" t="s">
        <v>272</v>
      </c>
      <c r="D127" s="1" t="s">
        <v>167</v>
      </c>
      <c r="E127" s="1" t="s">
        <v>13</v>
      </c>
      <c r="F127" s="1"/>
      <c r="G127">
        <v>2</v>
      </c>
      <c r="H127" s="1" t="s">
        <v>397</v>
      </c>
      <c r="I127" s="1" t="s">
        <v>396</v>
      </c>
      <c r="J127">
        <v>12</v>
      </c>
      <c r="K127">
        <v>-2.5</v>
      </c>
      <c r="L127">
        <v>204.5</v>
      </c>
      <c r="M127">
        <v>103.5</v>
      </c>
      <c r="N127">
        <v>1.5</v>
      </c>
      <c r="O127">
        <v>15.3</v>
      </c>
      <c r="P127">
        <v>32</v>
      </c>
      <c r="Q127">
        <v>16.8</v>
      </c>
      <c r="R127">
        <v>3.65</v>
      </c>
    </row>
    <row r="128" spans="1:18" x14ac:dyDescent="0.3">
      <c r="A128" s="1" t="s">
        <v>1005</v>
      </c>
      <c r="B128" s="1" t="s">
        <v>128</v>
      </c>
      <c r="C128" s="1" t="s">
        <v>208</v>
      </c>
      <c r="D128" s="1" t="s">
        <v>169</v>
      </c>
      <c r="E128" s="1" t="s">
        <v>14</v>
      </c>
      <c r="F128" s="1" t="s">
        <v>13</v>
      </c>
      <c r="G128">
        <v>1</v>
      </c>
      <c r="H128" s="1" t="s">
        <v>392</v>
      </c>
      <c r="I128" s="1" t="s">
        <v>385</v>
      </c>
      <c r="J128">
        <v>26</v>
      </c>
      <c r="K128">
        <v>2</v>
      </c>
      <c r="L128">
        <v>211</v>
      </c>
      <c r="M128">
        <v>104.5</v>
      </c>
      <c r="N128">
        <v>5.7</v>
      </c>
      <c r="O128">
        <v>17.5</v>
      </c>
      <c r="P128">
        <v>31.1</v>
      </c>
      <c r="Q128">
        <v>16.7</v>
      </c>
      <c r="R128">
        <v>3.79</v>
      </c>
    </row>
    <row r="129" spans="1:18" x14ac:dyDescent="0.3">
      <c r="A129" s="1" t="s">
        <v>1006</v>
      </c>
      <c r="B129" s="1" t="s">
        <v>162</v>
      </c>
      <c r="C129" s="1" t="s">
        <v>261</v>
      </c>
      <c r="D129" s="1" t="s">
        <v>173</v>
      </c>
      <c r="E129" s="1" t="s">
        <v>14</v>
      </c>
      <c r="F129" s="1"/>
      <c r="G129">
        <v>1</v>
      </c>
      <c r="H129" s="1" t="s">
        <v>398</v>
      </c>
      <c r="I129" s="1" t="s">
        <v>251</v>
      </c>
      <c r="J129">
        <v>28</v>
      </c>
      <c r="K129">
        <v>2</v>
      </c>
      <c r="L129">
        <v>235.5</v>
      </c>
      <c r="M129">
        <v>116.8</v>
      </c>
      <c r="N129">
        <v>12.3</v>
      </c>
      <c r="O129">
        <v>17.3</v>
      </c>
      <c r="P129">
        <v>25</v>
      </c>
      <c r="Q129">
        <v>16.3</v>
      </c>
      <c r="R129">
        <v>4.6500000000000004</v>
      </c>
    </row>
    <row r="130" spans="1:18" x14ac:dyDescent="0.3">
      <c r="A130" s="1" t="s">
        <v>1007</v>
      </c>
      <c r="B130" s="1" t="s">
        <v>129</v>
      </c>
      <c r="C130" s="1" t="s">
        <v>272</v>
      </c>
      <c r="D130" s="1" t="s">
        <v>207</v>
      </c>
      <c r="E130" s="1" t="s">
        <v>13</v>
      </c>
      <c r="F130" s="1" t="s">
        <v>14</v>
      </c>
      <c r="G130">
        <v>1</v>
      </c>
      <c r="H130" s="1" t="s">
        <v>381</v>
      </c>
      <c r="I130" s="1" t="s">
        <v>382</v>
      </c>
      <c r="J130">
        <v>26</v>
      </c>
      <c r="K130">
        <v>-5.5</v>
      </c>
      <c r="L130">
        <v>225</v>
      </c>
      <c r="M130">
        <v>115.3</v>
      </c>
      <c r="N130">
        <v>3</v>
      </c>
      <c r="O130">
        <v>14.7</v>
      </c>
      <c r="P130">
        <v>31.3</v>
      </c>
      <c r="Q130">
        <v>16.2</v>
      </c>
      <c r="R130">
        <v>3.76</v>
      </c>
    </row>
    <row r="131" spans="1:18" x14ac:dyDescent="0.3">
      <c r="A131" s="1" t="s">
        <v>1008</v>
      </c>
      <c r="B131" s="1" t="s">
        <v>275</v>
      </c>
      <c r="C131" s="1" t="s">
        <v>276</v>
      </c>
      <c r="D131" s="1" t="s">
        <v>177</v>
      </c>
      <c r="E131" s="1" t="s">
        <v>13</v>
      </c>
      <c r="F131" s="1"/>
      <c r="G131">
        <v>0</v>
      </c>
      <c r="H131" s="1" t="s">
        <v>251</v>
      </c>
      <c r="I131" s="1" t="s">
        <v>398</v>
      </c>
      <c r="J131">
        <v>7</v>
      </c>
      <c r="K131">
        <v>-2</v>
      </c>
      <c r="L131">
        <v>235.5</v>
      </c>
      <c r="M131">
        <v>118.8</v>
      </c>
      <c r="N131">
        <v>4.9000000000000004</v>
      </c>
      <c r="O131">
        <v>16.600000000000001</v>
      </c>
      <c r="P131">
        <v>37</v>
      </c>
      <c r="Q131">
        <v>16.2</v>
      </c>
      <c r="R131">
        <v>4.26</v>
      </c>
    </row>
    <row r="132" spans="1:18" x14ac:dyDescent="0.3">
      <c r="A132" s="1" t="s">
        <v>1009</v>
      </c>
      <c r="B132" s="1" t="s">
        <v>181</v>
      </c>
      <c r="C132" s="1" t="s">
        <v>1010</v>
      </c>
      <c r="D132" s="1" t="s">
        <v>175</v>
      </c>
      <c r="E132" s="1" t="s">
        <v>16</v>
      </c>
      <c r="F132" s="1"/>
      <c r="G132">
        <v>1</v>
      </c>
      <c r="H132" s="1" t="s">
        <v>428</v>
      </c>
      <c r="I132" s="1" t="s">
        <v>427</v>
      </c>
      <c r="J132">
        <v>23</v>
      </c>
      <c r="K132">
        <v>5.5</v>
      </c>
      <c r="L132">
        <v>222.5</v>
      </c>
      <c r="M132">
        <v>108.5</v>
      </c>
      <c r="N132">
        <v>5.9</v>
      </c>
      <c r="O132">
        <v>17.100000000000001</v>
      </c>
      <c r="P132">
        <v>27.3</v>
      </c>
      <c r="Q132">
        <v>16.2</v>
      </c>
      <c r="R132">
        <v>4.38</v>
      </c>
    </row>
    <row r="133" spans="1:18" x14ac:dyDescent="0.3">
      <c r="A133" s="1" t="s">
        <v>1011</v>
      </c>
      <c r="B133" s="1" t="s">
        <v>1012</v>
      </c>
      <c r="C133" s="1" t="s">
        <v>1013</v>
      </c>
      <c r="D133" s="1" t="s">
        <v>170</v>
      </c>
      <c r="E133" s="1" t="s">
        <v>21</v>
      </c>
      <c r="F133" s="1" t="s">
        <v>13</v>
      </c>
      <c r="G133">
        <v>2</v>
      </c>
      <c r="H133" s="1" t="s">
        <v>383</v>
      </c>
      <c r="I133" s="1" t="s">
        <v>257</v>
      </c>
      <c r="J133">
        <v>22</v>
      </c>
      <c r="K133">
        <v>6</v>
      </c>
      <c r="L133">
        <v>213</v>
      </c>
      <c r="M133">
        <v>103.5</v>
      </c>
      <c r="N133">
        <v>3.7</v>
      </c>
      <c r="O133">
        <v>14.4</v>
      </c>
      <c r="P133">
        <v>21.5</v>
      </c>
      <c r="Q133">
        <v>16</v>
      </c>
      <c r="R133">
        <v>3.91</v>
      </c>
    </row>
    <row r="134" spans="1:18" x14ac:dyDescent="0.3">
      <c r="A134" s="1" t="s">
        <v>1014</v>
      </c>
      <c r="B134" s="1" t="s">
        <v>129</v>
      </c>
      <c r="C134" s="1" t="s">
        <v>1015</v>
      </c>
      <c r="D134" s="1" t="s">
        <v>174</v>
      </c>
      <c r="E134" s="1" t="s">
        <v>13</v>
      </c>
      <c r="F134" s="1" t="s">
        <v>14</v>
      </c>
      <c r="G134">
        <v>1</v>
      </c>
      <c r="H134" s="1" t="s">
        <v>398</v>
      </c>
      <c r="I134" s="1" t="s">
        <v>251</v>
      </c>
      <c r="J134">
        <v>18</v>
      </c>
      <c r="K134">
        <v>2</v>
      </c>
      <c r="L134">
        <v>235.5</v>
      </c>
      <c r="M134">
        <v>116.8</v>
      </c>
      <c r="N134">
        <v>0</v>
      </c>
      <c r="O134">
        <v>15.1</v>
      </c>
      <c r="P134">
        <v>31.5</v>
      </c>
      <c r="Q134">
        <v>15.7</v>
      </c>
      <c r="R134">
        <v>4.0199999999999996</v>
      </c>
    </row>
    <row r="135" spans="1:18" x14ac:dyDescent="0.3">
      <c r="A135" s="1" t="s">
        <v>1016</v>
      </c>
      <c r="B135" s="1" t="s">
        <v>128</v>
      </c>
      <c r="C135" s="1" t="s">
        <v>204</v>
      </c>
      <c r="D135" s="1" t="s">
        <v>207</v>
      </c>
      <c r="E135" s="1" t="s">
        <v>16</v>
      </c>
      <c r="F135" s="1"/>
      <c r="G135">
        <v>1</v>
      </c>
      <c r="H135" s="1" t="s">
        <v>382</v>
      </c>
      <c r="I135" s="1" t="s">
        <v>381</v>
      </c>
      <c r="J135">
        <v>25</v>
      </c>
      <c r="K135">
        <v>5.5</v>
      </c>
      <c r="L135">
        <v>225</v>
      </c>
      <c r="M135">
        <v>109.8</v>
      </c>
      <c r="N135">
        <v>5.9</v>
      </c>
      <c r="O135">
        <v>16</v>
      </c>
      <c r="P135">
        <v>25.6</v>
      </c>
      <c r="Q135">
        <v>15.4</v>
      </c>
      <c r="R135">
        <v>3.59</v>
      </c>
    </row>
    <row r="136" spans="1:18" x14ac:dyDescent="0.3">
      <c r="A136" s="1" t="s">
        <v>1017</v>
      </c>
      <c r="B136" s="1" t="s">
        <v>129</v>
      </c>
      <c r="C136" s="1" t="s">
        <v>1018</v>
      </c>
      <c r="D136" s="1" t="s">
        <v>171</v>
      </c>
      <c r="E136" s="1" t="s">
        <v>16</v>
      </c>
      <c r="F136" s="1"/>
      <c r="G136">
        <v>1</v>
      </c>
      <c r="H136" s="1" t="s">
        <v>398</v>
      </c>
      <c r="I136" s="1" t="s">
        <v>251</v>
      </c>
      <c r="J136">
        <v>10</v>
      </c>
      <c r="K136">
        <v>2</v>
      </c>
      <c r="L136">
        <v>235.5</v>
      </c>
      <c r="M136">
        <v>116.8</v>
      </c>
      <c r="N136">
        <v>9</v>
      </c>
      <c r="O136">
        <v>15.4</v>
      </c>
      <c r="P136">
        <v>31.4</v>
      </c>
      <c r="Q136">
        <v>15.4</v>
      </c>
      <c r="R136">
        <v>3.42</v>
      </c>
    </row>
    <row r="137" spans="1:18" x14ac:dyDescent="0.3">
      <c r="A137" s="1" t="s">
        <v>1019</v>
      </c>
      <c r="B137" s="1" t="s">
        <v>129</v>
      </c>
      <c r="C137" s="1" t="s">
        <v>1020</v>
      </c>
      <c r="D137" s="1" t="s">
        <v>165</v>
      </c>
      <c r="E137" s="1" t="s">
        <v>18</v>
      </c>
      <c r="F137" s="1"/>
      <c r="G137">
        <v>2</v>
      </c>
      <c r="H137" s="1" t="s">
        <v>389</v>
      </c>
      <c r="I137" s="1" t="s">
        <v>388</v>
      </c>
      <c r="J137">
        <v>24</v>
      </c>
      <c r="K137">
        <v>-4</v>
      </c>
      <c r="L137">
        <v>231</v>
      </c>
      <c r="M137">
        <v>117.5</v>
      </c>
      <c r="N137">
        <v>3.6</v>
      </c>
      <c r="O137">
        <v>14</v>
      </c>
      <c r="P137">
        <v>41.3</v>
      </c>
      <c r="Q137">
        <v>15.4</v>
      </c>
      <c r="R137">
        <v>3.84</v>
      </c>
    </row>
    <row r="138" spans="1:18" x14ac:dyDescent="0.3">
      <c r="A138" s="1" t="s">
        <v>1021</v>
      </c>
      <c r="B138" s="1" t="s">
        <v>1022</v>
      </c>
      <c r="C138" s="1" t="s">
        <v>1023</v>
      </c>
      <c r="D138" s="1" t="s">
        <v>177</v>
      </c>
      <c r="E138" s="1" t="s">
        <v>13</v>
      </c>
      <c r="F138" s="1"/>
      <c r="G138">
        <v>1</v>
      </c>
      <c r="H138" s="1" t="s">
        <v>396</v>
      </c>
      <c r="I138" s="1" t="s">
        <v>397</v>
      </c>
      <c r="J138">
        <v>7</v>
      </c>
      <c r="K138">
        <v>2.5</v>
      </c>
      <c r="L138">
        <v>204.5</v>
      </c>
      <c r="M138">
        <v>101</v>
      </c>
      <c r="N138">
        <v>0.2</v>
      </c>
      <c r="O138">
        <v>14.3</v>
      </c>
      <c r="P138">
        <v>28.2</v>
      </c>
      <c r="Q138">
        <v>15.2</v>
      </c>
      <c r="R138">
        <v>4.01</v>
      </c>
    </row>
    <row r="139" spans="1:18" x14ac:dyDescent="0.3">
      <c r="A139" s="1" t="s">
        <v>1024</v>
      </c>
      <c r="B139" s="1" t="s">
        <v>182</v>
      </c>
      <c r="C139" s="1" t="s">
        <v>1025</v>
      </c>
      <c r="D139" s="1" t="s">
        <v>161</v>
      </c>
      <c r="E139" s="1" t="s">
        <v>14</v>
      </c>
      <c r="F139" s="1" t="s">
        <v>13</v>
      </c>
      <c r="G139">
        <v>2</v>
      </c>
      <c r="H139" s="1" t="s">
        <v>424</v>
      </c>
      <c r="I139" s="1" t="s">
        <v>410</v>
      </c>
      <c r="J139">
        <v>2</v>
      </c>
      <c r="K139">
        <v>-3</v>
      </c>
      <c r="L139">
        <v>223</v>
      </c>
      <c r="M139">
        <v>113</v>
      </c>
      <c r="N139">
        <v>8.1</v>
      </c>
      <c r="O139">
        <v>15.7</v>
      </c>
      <c r="P139">
        <v>22.8</v>
      </c>
      <c r="Q139">
        <v>15.1</v>
      </c>
      <c r="R139">
        <v>3.6</v>
      </c>
    </row>
    <row r="140" spans="1:18" x14ac:dyDescent="0.3">
      <c r="A140" s="1" t="s">
        <v>1026</v>
      </c>
      <c r="B140" s="1" t="s">
        <v>1027</v>
      </c>
      <c r="C140" s="1" t="s">
        <v>1028</v>
      </c>
      <c r="D140" s="1" t="s">
        <v>207</v>
      </c>
      <c r="E140" s="1" t="s">
        <v>18</v>
      </c>
      <c r="F140" s="1"/>
      <c r="G140">
        <v>21</v>
      </c>
      <c r="H140" s="1" t="s">
        <v>396</v>
      </c>
      <c r="I140" s="1" t="s">
        <v>397</v>
      </c>
      <c r="J140">
        <v>12</v>
      </c>
      <c r="K140">
        <v>2.5</v>
      </c>
      <c r="L140">
        <v>204.5</v>
      </c>
      <c r="M140">
        <v>101</v>
      </c>
      <c r="N140">
        <v>11</v>
      </c>
      <c r="O140">
        <v>19.600000000000001</v>
      </c>
      <c r="P140">
        <v>30.1</v>
      </c>
      <c r="Q140">
        <v>15</v>
      </c>
      <c r="R140">
        <v>3.49</v>
      </c>
    </row>
    <row r="141" spans="1:18" x14ac:dyDescent="0.3">
      <c r="A141" s="1" t="s">
        <v>1029</v>
      </c>
      <c r="B141" s="1" t="s">
        <v>188</v>
      </c>
      <c r="C141" s="1" t="s">
        <v>1030</v>
      </c>
      <c r="D141" s="1" t="s">
        <v>169</v>
      </c>
      <c r="E141" s="1" t="s">
        <v>13</v>
      </c>
      <c r="F141" s="1"/>
      <c r="G141">
        <v>3</v>
      </c>
      <c r="H141" s="1" t="s">
        <v>410</v>
      </c>
      <c r="I141" s="1" t="s">
        <v>424</v>
      </c>
      <c r="J141">
        <v>30</v>
      </c>
      <c r="K141">
        <v>3</v>
      </c>
      <c r="L141">
        <v>223</v>
      </c>
      <c r="M141">
        <v>110</v>
      </c>
      <c r="N141">
        <v>8.5</v>
      </c>
      <c r="O141">
        <v>17.600000000000001</v>
      </c>
      <c r="P141">
        <v>34.799999999999997</v>
      </c>
      <c r="Q141">
        <v>15</v>
      </c>
      <c r="R141">
        <v>3.4</v>
      </c>
    </row>
    <row r="142" spans="1:18" x14ac:dyDescent="0.3">
      <c r="A142" s="1" t="s">
        <v>1031</v>
      </c>
      <c r="B142" s="1" t="s">
        <v>138</v>
      </c>
      <c r="C142" s="1" t="s">
        <v>285</v>
      </c>
      <c r="D142" s="1" t="s">
        <v>207</v>
      </c>
      <c r="E142" s="1" t="s">
        <v>13</v>
      </c>
      <c r="F142" s="1"/>
      <c r="G142">
        <v>2</v>
      </c>
      <c r="H142" s="1" t="s">
        <v>389</v>
      </c>
      <c r="I142" s="1" t="s">
        <v>388</v>
      </c>
      <c r="J142">
        <v>9</v>
      </c>
      <c r="K142">
        <v>-4</v>
      </c>
      <c r="L142">
        <v>231</v>
      </c>
      <c r="M142">
        <v>117.5</v>
      </c>
      <c r="N142">
        <v>13.7</v>
      </c>
      <c r="O142">
        <v>21.2</v>
      </c>
      <c r="P142">
        <v>32.299999999999997</v>
      </c>
      <c r="Q142">
        <v>14.9</v>
      </c>
      <c r="R142">
        <v>3.46</v>
      </c>
    </row>
    <row r="143" spans="1:18" x14ac:dyDescent="0.3">
      <c r="A143" s="1" t="s">
        <v>1032</v>
      </c>
      <c r="B143" s="1" t="s">
        <v>1033</v>
      </c>
      <c r="C143" s="1" t="s">
        <v>1034</v>
      </c>
      <c r="D143" s="1" t="s">
        <v>175</v>
      </c>
      <c r="E143" s="1" t="s">
        <v>18</v>
      </c>
      <c r="F143" s="1"/>
      <c r="G143">
        <v>1</v>
      </c>
      <c r="H143" s="1" t="s">
        <v>385</v>
      </c>
      <c r="I143" s="1" t="s">
        <v>392</v>
      </c>
      <c r="J143">
        <v>15</v>
      </c>
      <c r="K143">
        <v>-2</v>
      </c>
      <c r="L143">
        <v>211</v>
      </c>
      <c r="M143">
        <v>106.5</v>
      </c>
      <c r="N143">
        <v>3.6</v>
      </c>
      <c r="O143">
        <v>13.1</v>
      </c>
      <c r="P143">
        <v>29.2</v>
      </c>
      <c r="Q143">
        <v>14.8</v>
      </c>
      <c r="R143">
        <v>4.01</v>
      </c>
    </row>
    <row r="144" spans="1:18" x14ac:dyDescent="0.3">
      <c r="A144" s="1" t="s">
        <v>1035</v>
      </c>
      <c r="B144" s="1" t="s">
        <v>129</v>
      </c>
      <c r="C144" s="1" t="s">
        <v>1036</v>
      </c>
      <c r="D144" s="1" t="s">
        <v>170</v>
      </c>
      <c r="E144" s="1" t="s">
        <v>14</v>
      </c>
      <c r="F144" s="1" t="s">
        <v>13</v>
      </c>
      <c r="G144">
        <v>1</v>
      </c>
      <c r="H144" s="1" t="s">
        <v>401</v>
      </c>
      <c r="I144" s="1" t="s">
        <v>408</v>
      </c>
      <c r="J144">
        <v>29</v>
      </c>
      <c r="K144">
        <v>7</v>
      </c>
      <c r="L144">
        <v>233.5</v>
      </c>
      <c r="M144">
        <v>113.3</v>
      </c>
      <c r="N144">
        <v>12.4</v>
      </c>
      <c r="O144">
        <v>18</v>
      </c>
      <c r="P144">
        <v>27.6</v>
      </c>
      <c r="Q144">
        <v>14.7</v>
      </c>
      <c r="R144">
        <v>3.58</v>
      </c>
    </row>
    <row r="145" spans="1:18" x14ac:dyDescent="0.3">
      <c r="A145" s="1" t="s">
        <v>1037</v>
      </c>
      <c r="B145" s="1" t="s">
        <v>181</v>
      </c>
      <c r="C145" s="1" t="s">
        <v>1038</v>
      </c>
      <c r="D145" s="1" t="s">
        <v>1039</v>
      </c>
      <c r="E145" s="1" t="s">
        <v>14</v>
      </c>
      <c r="F145" s="1"/>
      <c r="G145">
        <v>1</v>
      </c>
      <c r="H145" s="1" t="s">
        <v>392</v>
      </c>
      <c r="I145" s="1" t="s">
        <v>385</v>
      </c>
      <c r="J145">
        <v>1</v>
      </c>
      <c r="K145">
        <v>2</v>
      </c>
      <c r="L145">
        <v>211</v>
      </c>
      <c r="M145">
        <v>104.5</v>
      </c>
      <c r="N145">
        <v>9.6</v>
      </c>
      <c r="O145">
        <v>26.9</v>
      </c>
      <c r="P145">
        <v>55.2</v>
      </c>
      <c r="Q145">
        <v>14.7</v>
      </c>
      <c r="R145">
        <v>2.29</v>
      </c>
    </row>
    <row r="146" spans="1:18" x14ac:dyDescent="0.3">
      <c r="A146" s="1" t="s">
        <v>1040</v>
      </c>
      <c r="B146" s="1" t="s">
        <v>172</v>
      </c>
      <c r="C146" s="1" t="s">
        <v>143</v>
      </c>
      <c r="D146" s="1" t="s">
        <v>173</v>
      </c>
      <c r="E146" s="1" t="s">
        <v>16</v>
      </c>
      <c r="F146" s="1"/>
      <c r="G146">
        <v>1</v>
      </c>
      <c r="H146" s="1" t="s">
        <v>385</v>
      </c>
      <c r="I146" s="1" t="s">
        <v>392</v>
      </c>
      <c r="J146">
        <v>21</v>
      </c>
      <c r="K146">
        <v>-2</v>
      </c>
      <c r="L146">
        <v>211</v>
      </c>
      <c r="M146">
        <v>106.5</v>
      </c>
      <c r="N146">
        <v>3</v>
      </c>
      <c r="O146">
        <v>11.2</v>
      </c>
      <c r="P146">
        <v>17.100000000000001</v>
      </c>
      <c r="Q146">
        <v>14.6</v>
      </c>
      <c r="R146">
        <v>4.17</v>
      </c>
    </row>
    <row r="147" spans="1:18" x14ac:dyDescent="0.3">
      <c r="A147" s="1" t="s">
        <v>1041</v>
      </c>
      <c r="B147" s="1" t="s">
        <v>281</v>
      </c>
      <c r="C147" s="1" t="s">
        <v>282</v>
      </c>
      <c r="D147" s="1" t="s">
        <v>174</v>
      </c>
      <c r="E147" s="1" t="s">
        <v>14</v>
      </c>
      <c r="F147" s="1" t="s">
        <v>16</v>
      </c>
      <c r="G147">
        <v>0</v>
      </c>
      <c r="H147" s="1" t="s">
        <v>257</v>
      </c>
      <c r="I147" s="1" t="s">
        <v>383</v>
      </c>
      <c r="J147">
        <v>20</v>
      </c>
      <c r="K147">
        <v>-6</v>
      </c>
      <c r="L147">
        <v>213</v>
      </c>
      <c r="M147">
        <v>109.5</v>
      </c>
      <c r="N147">
        <v>8.6</v>
      </c>
      <c r="O147">
        <v>16.5</v>
      </c>
      <c r="P147">
        <v>32.799999999999997</v>
      </c>
      <c r="Q147">
        <v>14.5</v>
      </c>
      <c r="R147">
        <v>3.72</v>
      </c>
    </row>
    <row r="148" spans="1:18" x14ac:dyDescent="0.3">
      <c r="A148" s="1" t="s">
        <v>1042</v>
      </c>
      <c r="B148" s="1" t="s">
        <v>1043</v>
      </c>
      <c r="C148" s="1" t="s">
        <v>1044</v>
      </c>
      <c r="D148" s="1" t="s">
        <v>177</v>
      </c>
      <c r="E148" s="1" t="s">
        <v>18</v>
      </c>
      <c r="F148" s="1"/>
      <c r="G148">
        <v>1</v>
      </c>
      <c r="H148" s="1" t="s">
        <v>396</v>
      </c>
      <c r="I148" s="1" t="s">
        <v>397</v>
      </c>
      <c r="J148">
        <v>18</v>
      </c>
      <c r="K148">
        <v>2.5</v>
      </c>
      <c r="L148">
        <v>204.5</v>
      </c>
      <c r="M148">
        <v>101</v>
      </c>
      <c r="N148">
        <v>7.2</v>
      </c>
      <c r="O148">
        <v>13.1</v>
      </c>
      <c r="P148">
        <v>18.3</v>
      </c>
      <c r="Q148">
        <v>14.5</v>
      </c>
      <c r="R148">
        <v>3.82</v>
      </c>
    </row>
    <row r="149" spans="1:18" x14ac:dyDescent="0.3">
      <c r="A149" s="1" t="s">
        <v>1045</v>
      </c>
      <c r="B149" s="1" t="s">
        <v>186</v>
      </c>
      <c r="C149" s="1" t="s">
        <v>994</v>
      </c>
      <c r="D149" s="1" t="s">
        <v>177</v>
      </c>
      <c r="E149" s="1" t="s">
        <v>21</v>
      </c>
      <c r="F149" s="1"/>
      <c r="G149">
        <v>1</v>
      </c>
      <c r="H149" s="1" t="s">
        <v>381</v>
      </c>
      <c r="I149" s="1" t="s">
        <v>382</v>
      </c>
      <c r="J149">
        <v>8</v>
      </c>
      <c r="K149">
        <v>-5.5</v>
      </c>
      <c r="L149">
        <v>225</v>
      </c>
      <c r="M149">
        <v>115.3</v>
      </c>
      <c r="N149">
        <v>5</v>
      </c>
      <c r="O149">
        <v>12.3</v>
      </c>
      <c r="P149">
        <v>24.9</v>
      </c>
      <c r="Q149">
        <v>14.5</v>
      </c>
      <c r="R149">
        <v>3.82</v>
      </c>
    </row>
    <row r="150" spans="1:18" x14ac:dyDescent="0.3">
      <c r="A150" s="1" t="s">
        <v>1046</v>
      </c>
      <c r="B150" s="1" t="s">
        <v>172</v>
      </c>
      <c r="C150" s="1" t="s">
        <v>1047</v>
      </c>
      <c r="D150" s="1" t="s">
        <v>175</v>
      </c>
      <c r="E150" s="1" t="s">
        <v>16</v>
      </c>
      <c r="F150" s="1" t="s">
        <v>14</v>
      </c>
      <c r="G150">
        <v>1</v>
      </c>
      <c r="H150" s="1" t="s">
        <v>381</v>
      </c>
      <c r="I150" s="1" t="s">
        <v>382</v>
      </c>
      <c r="J150">
        <v>26</v>
      </c>
      <c r="K150">
        <v>-5.5</v>
      </c>
      <c r="L150">
        <v>225</v>
      </c>
      <c r="M150">
        <v>115.3</v>
      </c>
      <c r="N150">
        <v>6.9</v>
      </c>
      <c r="O150">
        <v>12.3</v>
      </c>
      <c r="P150">
        <v>16.7</v>
      </c>
      <c r="Q150">
        <v>14.4</v>
      </c>
      <c r="R150">
        <v>3.89</v>
      </c>
    </row>
    <row r="151" spans="1:18" x14ac:dyDescent="0.3">
      <c r="A151" s="1" t="s">
        <v>1048</v>
      </c>
      <c r="B151" s="1" t="s">
        <v>1049</v>
      </c>
      <c r="C151" s="1" t="s">
        <v>1050</v>
      </c>
      <c r="D151" s="1" t="s">
        <v>173</v>
      </c>
      <c r="E151" s="1" t="s">
        <v>13</v>
      </c>
      <c r="F151" s="1"/>
      <c r="G151">
        <v>2</v>
      </c>
      <c r="H151" s="1" t="s">
        <v>389</v>
      </c>
      <c r="I151" s="1" t="s">
        <v>388</v>
      </c>
      <c r="J151">
        <v>9</v>
      </c>
      <c r="K151">
        <v>-4</v>
      </c>
      <c r="L151">
        <v>231</v>
      </c>
      <c r="M151">
        <v>117.5</v>
      </c>
      <c r="N151">
        <v>6.6</v>
      </c>
      <c r="O151">
        <v>10.7</v>
      </c>
      <c r="P151">
        <v>17.2</v>
      </c>
      <c r="Q151">
        <v>14.4</v>
      </c>
      <c r="R151">
        <v>4.12</v>
      </c>
    </row>
    <row r="152" spans="1:18" x14ac:dyDescent="0.3">
      <c r="A152" s="1" t="s">
        <v>1051</v>
      </c>
      <c r="B152" s="1" t="s">
        <v>1052</v>
      </c>
      <c r="C152" s="1" t="s">
        <v>1053</v>
      </c>
      <c r="D152" s="1" t="s">
        <v>166</v>
      </c>
      <c r="E152" s="1" t="s">
        <v>14</v>
      </c>
      <c r="F152" s="1" t="s">
        <v>13</v>
      </c>
      <c r="G152">
        <v>2</v>
      </c>
      <c r="H152" s="1" t="s">
        <v>389</v>
      </c>
      <c r="I152" s="1" t="s">
        <v>388</v>
      </c>
      <c r="J152">
        <v>11</v>
      </c>
      <c r="K152">
        <v>-4</v>
      </c>
      <c r="L152">
        <v>231</v>
      </c>
      <c r="M152">
        <v>117.5</v>
      </c>
      <c r="N152">
        <v>2.4</v>
      </c>
      <c r="O152">
        <v>10.199999999999999</v>
      </c>
      <c r="P152">
        <v>29.9</v>
      </c>
      <c r="Q152">
        <v>14.1</v>
      </c>
      <c r="R152">
        <v>3.92</v>
      </c>
    </row>
    <row r="153" spans="1:18" x14ac:dyDescent="0.3">
      <c r="A153" s="1" t="s">
        <v>1054</v>
      </c>
      <c r="B153" s="1" t="s">
        <v>156</v>
      </c>
      <c r="C153" s="1" t="s">
        <v>1055</v>
      </c>
      <c r="D153" s="1" t="s">
        <v>175</v>
      </c>
      <c r="E153" s="1" t="s">
        <v>14</v>
      </c>
      <c r="F153" s="1"/>
      <c r="G153">
        <v>2</v>
      </c>
      <c r="H153" s="1" t="s">
        <v>389</v>
      </c>
      <c r="I153" s="1" t="s">
        <v>388</v>
      </c>
      <c r="J153">
        <v>11</v>
      </c>
      <c r="K153">
        <v>-4</v>
      </c>
      <c r="L153">
        <v>231</v>
      </c>
      <c r="M153">
        <v>117.5</v>
      </c>
      <c r="N153">
        <v>8.6</v>
      </c>
      <c r="O153">
        <v>14.3</v>
      </c>
      <c r="P153">
        <v>17.600000000000001</v>
      </c>
      <c r="Q153">
        <v>14.1</v>
      </c>
      <c r="R153">
        <v>3.81</v>
      </c>
    </row>
    <row r="154" spans="1:18" x14ac:dyDescent="0.3">
      <c r="A154" s="1" t="s">
        <v>1056</v>
      </c>
      <c r="B154" s="1" t="s">
        <v>183</v>
      </c>
      <c r="C154" s="1" t="s">
        <v>1057</v>
      </c>
      <c r="D154" s="1" t="s">
        <v>178</v>
      </c>
      <c r="E154" s="1" t="s">
        <v>13</v>
      </c>
      <c r="F154" s="1" t="s">
        <v>14</v>
      </c>
      <c r="G154">
        <v>1</v>
      </c>
      <c r="H154" s="1" t="s">
        <v>381</v>
      </c>
      <c r="I154" s="1" t="s">
        <v>382</v>
      </c>
      <c r="J154">
        <v>8</v>
      </c>
      <c r="K154">
        <v>-5.5</v>
      </c>
      <c r="L154">
        <v>225</v>
      </c>
      <c r="M154">
        <v>115.3</v>
      </c>
      <c r="N154">
        <v>4.2</v>
      </c>
      <c r="O154">
        <v>24</v>
      </c>
      <c r="P154">
        <v>49.2</v>
      </c>
      <c r="Q154">
        <v>14.1</v>
      </c>
      <c r="R154">
        <v>2.7</v>
      </c>
    </row>
    <row r="155" spans="1:18" x14ac:dyDescent="0.3">
      <c r="A155" s="1" t="s">
        <v>1058</v>
      </c>
      <c r="B155" s="1" t="s">
        <v>182</v>
      </c>
      <c r="C155" s="1" t="s">
        <v>1059</v>
      </c>
      <c r="D155" s="1" t="s">
        <v>175</v>
      </c>
      <c r="E155" s="1" t="s">
        <v>18</v>
      </c>
      <c r="F155" s="1" t="s">
        <v>16</v>
      </c>
      <c r="G155">
        <v>2</v>
      </c>
      <c r="H155" s="1" t="s">
        <v>388</v>
      </c>
      <c r="I155" s="1" t="s">
        <v>389</v>
      </c>
      <c r="J155">
        <v>2</v>
      </c>
      <c r="K155">
        <v>4</v>
      </c>
      <c r="L155">
        <v>231</v>
      </c>
      <c r="M155">
        <v>113.5</v>
      </c>
      <c r="N155">
        <v>-1</v>
      </c>
      <c r="O155">
        <v>6</v>
      </c>
      <c r="P155">
        <v>10.8</v>
      </c>
      <c r="Q155">
        <v>14.1</v>
      </c>
      <c r="R155">
        <v>3.82</v>
      </c>
    </row>
    <row r="156" spans="1:18" x14ac:dyDescent="0.3">
      <c r="A156" s="1" t="s">
        <v>1060</v>
      </c>
      <c r="B156" s="1" t="s">
        <v>149</v>
      </c>
      <c r="C156" s="1" t="s">
        <v>1061</v>
      </c>
      <c r="D156" s="1" t="s">
        <v>175</v>
      </c>
      <c r="E156" s="1" t="s">
        <v>16</v>
      </c>
      <c r="F156" s="1"/>
      <c r="G156">
        <v>3</v>
      </c>
      <c r="H156" s="1" t="s">
        <v>410</v>
      </c>
      <c r="I156" s="1" t="s">
        <v>424</v>
      </c>
      <c r="J156">
        <v>7</v>
      </c>
      <c r="K156">
        <v>3</v>
      </c>
      <c r="L156">
        <v>223</v>
      </c>
      <c r="M156">
        <v>110</v>
      </c>
      <c r="N156">
        <v>7.6</v>
      </c>
      <c r="O156">
        <v>11.1</v>
      </c>
      <c r="P156">
        <v>13.3</v>
      </c>
      <c r="Q156">
        <v>13.9</v>
      </c>
      <c r="R156">
        <v>3.75</v>
      </c>
    </row>
    <row r="157" spans="1:18" x14ac:dyDescent="0.3">
      <c r="A157" s="1" t="s">
        <v>1062</v>
      </c>
      <c r="B157" s="1" t="s">
        <v>138</v>
      </c>
      <c r="C157" s="1" t="s">
        <v>1063</v>
      </c>
      <c r="D157" s="1" t="s">
        <v>173</v>
      </c>
      <c r="E157" s="1" t="s">
        <v>14</v>
      </c>
      <c r="F157" s="1"/>
      <c r="G157">
        <v>1</v>
      </c>
      <c r="H157" s="1" t="s">
        <v>381</v>
      </c>
      <c r="I157" s="1" t="s">
        <v>382</v>
      </c>
      <c r="J157">
        <v>26</v>
      </c>
      <c r="K157">
        <v>-5.5</v>
      </c>
      <c r="L157">
        <v>225</v>
      </c>
      <c r="M157">
        <v>115.3</v>
      </c>
      <c r="N157">
        <v>0</v>
      </c>
      <c r="O157">
        <v>1.4</v>
      </c>
      <c r="P157">
        <v>2</v>
      </c>
      <c r="Q157">
        <v>13.8</v>
      </c>
      <c r="R157">
        <v>3.94</v>
      </c>
    </row>
    <row r="158" spans="1:18" x14ac:dyDescent="0.3">
      <c r="A158" s="1" t="s">
        <v>1064</v>
      </c>
      <c r="B158" s="1" t="s">
        <v>1065</v>
      </c>
      <c r="C158" s="1" t="s">
        <v>1066</v>
      </c>
      <c r="D158" s="1" t="s">
        <v>169</v>
      </c>
      <c r="E158" s="1" t="s">
        <v>13</v>
      </c>
      <c r="F158" s="1"/>
      <c r="G158">
        <v>1</v>
      </c>
      <c r="H158" s="1" t="s">
        <v>408</v>
      </c>
      <c r="I158" s="1" t="s">
        <v>401</v>
      </c>
      <c r="J158">
        <v>30</v>
      </c>
      <c r="K158">
        <v>-7</v>
      </c>
      <c r="L158">
        <v>233.5</v>
      </c>
      <c r="M158">
        <v>120.3</v>
      </c>
      <c r="N158">
        <v>7.1</v>
      </c>
      <c r="O158">
        <v>15.9</v>
      </c>
      <c r="P158">
        <v>30.1</v>
      </c>
      <c r="Q158">
        <v>13.7</v>
      </c>
      <c r="R158">
        <v>3.12</v>
      </c>
    </row>
    <row r="159" spans="1:18" x14ac:dyDescent="0.3">
      <c r="A159" s="1" t="s">
        <v>1067</v>
      </c>
      <c r="B159" s="1" t="s">
        <v>182</v>
      </c>
      <c r="C159" s="1" t="s">
        <v>1068</v>
      </c>
      <c r="D159" s="1" t="s">
        <v>173</v>
      </c>
      <c r="E159" s="1" t="s">
        <v>13</v>
      </c>
      <c r="F159" s="1" t="s">
        <v>14</v>
      </c>
      <c r="G159">
        <v>1</v>
      </c>
      <c r="H159" s="1" t="s">
        <v>388</v>
      </c>
      <c r="I159" s="1" t="s">
        <v>389</v>
      </c>
      <c r="J159">
        <v>25</v>
      </c>
      <c r="K159">
        <v>4</v>
      </c>
      <c r="L159">
        <v>231</v>
      </c>
      <c r="M159">
        <v>113.5</v>
      </c>
      <c r="N159">
        <v>3.2</v>
      </c>
      <c r="O159">
        <v>15.3</v>
      </c>
      <c r="P159">
        <v>25.7</v>
      </c>
      <c r="Q159">
        <v>13.5</v>
      </c>
      <c r="R159">
        <v>3.86</v>
      </c>
    </row>
    <row r="160" spans="1:18" x14ac:dyDescent="0.3">
      <c r="A160" s="1" t="s">
        <v>1069</v>
      </c>
      <c r="B160" s="1" t="s">
        <v>246</v>
      </c>
      <c r="C160" s="1" t="s">
        <v>1070</v>
      </c>
      <c r="D160" s="1" t="s">
        <v>173</v>
      </c>
      <c r="E160" s="1" t="s">
        <v>16</v>
      </c>
      <c r="F160" s="1"/>
      <c r="G160">
        <v>1</v>
      </c>
      <c r="H160" s="1" t="s">
        <v>427</v>
      </c>
      <c r="I160" s="1" t="s">
        <v>428</v>
      </c>
      <c r="J160">
        <v>20</v>
      </c>
      <c r="K160">
        <v>-5.5</v>
      </c>
      <c r="L160">
        <v>222.5</v>
      </c>
      <c r="M160">
        <v>114</v>
      </c>
      <c r="N160">
        <v>0</v>
      </c>
      <c r="O160">
        <v>3.5</v>
      </c>
      <c r="P160">
        <v>10.8</v>
      </c>
      <c r="Q160">
        <v>13.5</v>
      </c>
      <c r="R160">
        <v>3.85</v>
      </c>
    </row>
    <row r="161" spans="1:18" x14ac:dyDescent="0.3">
      <c r="A161" s="1" t="s">
        <v>1071</v>
      </c>
      <c r="B161" s="1" t="s">
        <v>129</v>
      </c>
      <c r="C161" s="1" t="s">
        <v>1072</v>
      </c>
      <c r="D161" s="1" t="s">
        <v>161</v>
      </c>
      <c r="E161" s="1" t="s">
        <v>14</v>
      </c>
      <c r="F161" s="1"/>
      <c r="G161">
        <v>60</v>
      </c>
      <c r="H161" s="1" t="s">
        <v>424</v>
      </c>
      <c r="I161" s="1" t="s">
        <v>410</v>
      </c>
      <c r="J161">
        <v>2</v>
      </c>
      <c r="K161">
        <v>-3</v>
      </c>
      <c r="L161">
        <v>223</v>
      </c>
      <c r="M161">
        <v>113</v>
      </c>
      <c r="N161">
        <v>4.4000000000000004</v>
      </c>
      <c r="O161">
        <v>17.100000000000001</v>
      </c>
      <c r="P161">
        <v>30.4</v>
      </c>
      <c r="Q161">
        <v>13.5</v>
      </c>
      <c r="R161">
        <v>3.22</v>
      </c>
    </row>
    <row r="162" spans="1:18" x14ac:dyDescent="0.3">
      <c r="A162" s="1" t="s">
        <v>1073</v>
      </c>
      <c r="B162" s="1" t="s">
        <v>140</v>
      </c>
      <c r="C162" s="1" t="s">
        <v>1074</v>
      </c>
      <c r="D162" s="1" t="s">
        <v>173</v>
      </c>
      <c r="E162" s="1" t="s">
        <v>16</v>
      </c>
      <c r="F162" s="1"/>
      <c r="G162">
        <v>2</v>
      </c>
      <c r="H162" s="1" t="s">
        <v>397</v>
      </c>
      <c r="I162" s="1" t="s">
        <v>396</v>
      </c>
      <c r="J162">
        <v>7</v>
      </c>
      <c r="K162">
        <v>-2.5</v>
      </c>
      <c r="L162">
        <v>204.5</v>
      </c>
      <c r="M162">
        <v>103.5</v>
      </c>
      <c r="N162">
        <v>5</v>
      </c>
      <c r="O162">
        <v>10</v>
      </c>
      <c r="P162">
        <v>23.4</v>
      </c>
      <c r="Q162">
        <v>13.4</v>
      </c>
      <c r="R162">
        <v>3.83</v>
      </c>
    </row>
    <row r="163" spans="1:18" x14ac:dyDescent="0.3">
      <c r="A163" s="1" t="s">
        <v>1075</v>
      </c>
      <c r="B163" s="1" t="s">
        <v>1076</v>
      </c>
      <c r="C163" s="1" t="s">
        <v>1077</v>
      </c>
      <c r="D163" s="1" t="s">
        <v>173</v>
      </c>
      <c r="E163" s="1" t="s">
        <v>21</v>
      </c>
      <c r="F163" s="1"/>
      <c r="G163">
        <v>1</v>
      </c>
      <c r="H163" s="1" t="s">
        <v>401</v>
      </c>
      <c r="I163" s="1" t="s">
        <v>408</v>
      </c>
      <c r="J163">
        <v>9</v>
      </c>
      <c r="K163">
        <v>7</v>
      </c>
      <c r="L163">
        <v>233.5</v>
      </c>
      <c r="M163">
        <v>113.3</v>
      </c>
      <c r="N163">
        <v>0.7</v>
      </c>
      <c r="O163">
        <v>8.5</v>
      </c>
      <c r="P163">
        <v>18.5</v>
      </c>
      <c r="Q163">
        <v>13.4</v>
      </c>
      <c r="R163">
        <v>3.83</v>
      </c>
    </row>
    <row r="164" spans="1:18" x14ac:dyDescent="0.3">
      <c r="A164" s="1" t="s">
        <v>1078</v>
      </c>
      <c r="B164" s="1" t="s">
        <v>129</v>
      </c>
      <c r="C164" s="1" t="s">
        <v>1079</v>
      </c>
      <c r="D164" s="1" t="s">
        <v>169</v>
      </c>
      <c r="E164" s="1" t="s">
        <v>18</v>
      </c>
      <c r="F164" s="1"/>
      <c r="G164">
        <v>19</v>
      </c>
      <c r="H164" s="1" t="s">
        <v>410</v>
      </c>
      <c r="I164" s="1" t="s">
        <v>424</v>
      </c>
      <c r="J164">
        <v>7</v>
      </c>
      <c r="K164">
        <v>3</v>
      </c>
      <c r="L164">
        <v>223</v>
      </c>
      <c r="M164">
        <v>110</v>
      </c>
      <c r="N164">
        <v>2.2000000000000002</v>
      </c>
      <c r="O164">
        <v>20.100000000000001</v>
      </c>
      <c r="P164">
        <v>40.299999999999997</v>
      </c>
      <c r="Q164">
        <v>13.3</v>
      </c>
      <c r="R164">
        <v>3.02</v>
      </c>
    </row>
    <row r="165" spans="1:18" x14ac:dyDescent="0.3">
      <c r="A165" s="1" t="s">
        <v>1080</v>
      </c>
      <c r="B165" s="1" t="s">
        <v>140</v>
      </c>
      <c r="C165" s="1" t="s">
        <v>134</v>
      </c>
      <c r="D165" s="1" t="s">
        <v>173</v>
      </c>
      <c r="E165" s="1" t="s">
        <v>18</v>
      </c>
      <c r="F165" s="1"/>
      <c r="G165">
        <v>2</v>
      </c>
      <c r="H165" s="1" t="s">
        <v>397</v>
      </c>
      <c r="I165" s="1" t="s">
        <v>396</v>
      </c>
      <c r="J165">
        <v>23</v>
      </c>
      <c r="K165">
        <v>-2.5</v>
      </c>
      <c r="L165">
        <v>204.5</v>
      </c>
      <c r="M165">
        <v>103.5</v>
      </c>
      <c r="N165">
        <v>0.2</v>
      </c>
      <c r="O165">
        <v>7.6</v>
      </c>
      <c r="P165">
        <v>12</v>
      </c>
      <c r="Q165">
        <v>13.2</v>
      </c>
      <c r="R165">
        <v>3.78</v>
      </c>
    </row>
    <row r="166" spans="1:18" x14ac:dyDescent="0.3">
      <c r="A166" s="1" t="s">
        <v>1081</v>
      </c>
      <c r="B166" s="1" t="s">
        <v>1082</v>
      </c>
      <c r="C166" s="1" t="s">
        <v>1083</v>
      </c>
      <c r="D166" s="1" t="s">
        <v>137</v>
      </c>
      <c r="E166" s="1" t="s">
        <v>21</v>
      </c>
      <c r="F166" s="1"/>
      <c r="G166">
        <v>14</v>
      </c>
      <c r="H166" s="1" t="s">
        <v>410</v>
      </c>
      <c r="I166" s="1" t="s">
        <v>424</v>
      </c>
      <c r="J166">
        <v>30</v>
      </c>
      <c r="K166">
        <v>3</v>
      </c>
      <c r="L166">
        <v>223</v>
      </c>
      <c r="M166">
        <v>110</v>
      </c>
      <c r="N166">
        <v>21.1</v>
      </c>
      <c r="O166">
        <v>25.9</v>
      </c>
      <c r="P166">
        <v>29.3</v>
      </c>
      <c r="Q166">
        <v>13</v>
      </c>
      <c r="R166">
        <v>2.2799999999999998</v>
      </c>
    </row>
    <row r="167" spans="1:18" x14ac:dyDescent="0.3">
      <c r="A167" s="1" t="s">
        <v>1084</v>
      </c>
      <c r="B167" s="1" t="s">
        <v>831</v>
      </c>
      <c r="C167" s="1" t="s">
        <v>1085</v>
      </c>
      <c r="D167" s="1" t="s">
        <v>161</v>
      </c>
      <c r="E167" s="1" t="s">
        <v>14</v>
      </c>
      <c r="F167" s="1"/>
      <c r="G167">
        <v>1</v>
      </c>
      <c r="H167" s="1" t="s">
        <v>392</v>
      </c>
      <c r="I167" s="1" t="s">
        <v>385</v>
      </c>
      <c r="J167">
        <v>26</v>
      </c>
      <c r="K167">
        <v>2</v>
      </c>
      <c r="L167">
        <v>211</v>
      </c>
      <c r="M167">
        <v>104.5</v>
      </c>
      <c r="N167">
        <v>9.4</v>
      </c>
      <c r="O167">
        <v>14.7</v>
      </c>
      <c r="P167">
        <v>21.3</v>
      </c>
      <c r="Q167">
        <v>13</v>
      </c>
      <c r="R167">
        <v>3.1</v>
      </c>
    </row>
    <row r="168" spans="1:18" x14ac:dyDescent="0.3">
      <c r="A168" s="1" t="s">
        <v>1086</v>
      </c>
      <c r="B168" s="1" t="s">
        <v>129</v>
      </c>
      <c r="C168" s="1" t="s">
        <v>1087</v>
      </c>
      <c r="D168" s="1" t="s">
        <v>166</v>
      </c>
      <c r="E168" s="1" t="s">
        <v>14</v>
      </c>
      <c r="F168" s="1"/>
      <c r="G168">
        <v>1</v>
      </c>
      <c r="H168" s="1" t="s">
        <v>427</v>
      </c>
      <c r="I168" s="1" t="s">
        <v>428</v>
      </c>
      <c r="J168">
        <v>23</v>
      </c>
      <c r="K168">
        <v>-5.5</v>
      </c>
      <c r="L168">
        <v>222.5</v>
      </c>
      <c r="M168">
        <v>114</v>
      </c>
      <c r="N168">
        <v>0</v>
      </c>
      <c r="O168">
        <v>9.4</v>
      </c>
      <c r="P168">
        <v>25.8</v>
      </c>
      <c r="Q168">
        <v>13</v>
      </c>
      <c r="R168">
        <v>3.61</v>
      </c>
    </row>
    <row r="169" spans="1:18" x14ac:dyDescent="0.3">
      <c r="A169" s="1" t="s">
        <v>1088</v>
      </c>
      <c r="B169" s="1" t="s">
        <v>279</v>
      </c>
      <c r="C169" s="1" t="s">
        <v>280</v>
      </c>
      <c r="D169" s="1" t="s">
        <v>178</v>
      </c>
      <c r="E169" s="1" t="s">
        <v>14</v>
      </c>
      <c r="F169" s="1" t="s">
        <v>16</v>
      </c>
      <c r="G169">
        <v>0</v>
      </c>
      <c r="H169" s="1" t="s">
        <v>257</v>
      </c>
      <c r="I169" s="1" t="s">
        <v>383</v>
      </c>
      <c r="J169">
        <v>17</v>
      </c>
      <c r="K169">
        <v>-6</v>
      </c>
      <c r="L169">
        <v>213</v>
      </c>
      <c r="M169">
        <v>109.5</v>
      </c>
      <c r="N169">
        <v>9.9</v>
      </c>
      <c r="O169">
        <v>22.8</v>
      </c>
      <c r="P169">
        <v>43.6</v>
      </c>
      <c r="Q169">
        <v>12.8</v>
      </c>
      <c r="R169">
        <v>2.46</v>
      </c>
    </row>
    <row r="170" spans="1:18" x14ac:dyDescent="0.3">
      <c r="A170" s="1" t="s">
        <v>1089</v>
      </c>
      <c r="B170" s="1" t="s">
        <v>994</v>
      </c>
      <c r="C170" s="1" t="s">
        <v>1090</v>
      </c>
      <c r="D170" s="1" t="s">
        <v>173</v>
      </c>
      <c r="E170" s="1" t="s">
        <v>14</v>
      </c>
      <c r="F170" s="1"/>
      <c r="G170">
        <v>1</v>
      </c>
      <c r="H170" s="1" t="s">
        <v>408</v>
      </c>
      <c r="I170" s="1" t="s">
        <v>401</v>
      </c>
      <c r="J170">
        <v>30</v>
      </c>
      <c r="K170">
        <v>-7</v>
      </c>
      <c r="L170">
        <v>233.5</v>
      </c>
      <c r="M170">
        <v>120.3</v>
      </c>
      <c r="N170">
        <v>3</v>
      </c>
      <c r="O170">
        <v>7.3</v>
      </c>
      <c r="P170">
        <v>18.7</v>
      </c>
      <c r="Q170">
        <v>12.8</v>
      </c>
      <c r="R170">
        <v>3.65</v>
      </c>
    </row>
    <row r="171" spans="1:18" x14ac:dyDescent="0.3">
      <c r="A171" s="1" t="s">
        <v>1091</v>
      </c>
      <c r="B171" s="1" t="s">
        <v>142</v>
      </c>
      <c r="C171" s="1" t="s">
        <v>1092</v>
      </c>
      <c r="D171" s="1" t="s">
        <v>203</v>
      </c>
      <c r="E171" s="1" t="s">
        <v>13</v>
      </c>
      <c r="F171" s="1"/>
      <c r="G171">
        <v>2</v>
      </c>
      <c r="H171" s="1" t="s">
        <v>397</v>
      </c>
      <c r="I171" s="1" t="s">
        <v>396</v>
      </c>
      <c r="J171">
        <v>15</v>
      </c>
      <c r="K171">
        <v>-2.5</v>
      </c>
      <c r="L171">
        <v>204.5</v>
      </c>
      <c r="M171">
        <v>103.5</v>
      </c>
      <c r="N171">
        <v>10.4</v>
      </c>
      <c r="O171">
        <v>20.8</v>
      </c>
      <c r="P171">
        <v>31.4</v>
      </c>
      <c r="Q171">
        <v>12.6</v>
      </c>
      <c r="R171">
        <v>2.61</v>
      </c>
    </row>
    <row r="172" spans="1:18" x14ac:dyDescent="0.3">
      <c r="A172" s="1" t="s">
        <v>1093</v>
      </c>
      <c r="B172" s="1" t="s">
        <v>129</v>
      </c>
      <c r="C172" s="1" t="s">
        <v>1094</v>
      </c>
      <c r="D172" s="1" t="s">
        <v>203</v>
      </c>
      <c r="E172" s="1" t="s">
        <v>21</v>
      </c>
      <c r="F172" s="1" t="s">
        <v>13</v>
      </c>
      <c r="G172">
        <v>2</v>
      </c>
      <c r="H172" s="1" t="s">
        <v>424</v>
      </c>
      <c r="I172" s="1" t="s">
        <v>410</v>
      </c>
      <c r="J172">
        <v>24</v>
      </c>
      <c r="K172">
        <v>-3</v>
      </c>
      <c r="L172">
        <v>223</v>
      </c>
      <c r="M172">
        <v>113</v>
      </c>
      <c r="N172">
        <v>9.5</v>
      </c>
      <c r="O172">
        <v>23.3</v>
      </c>
      <c r="P172">
        <v>38.799999999999997</v>
      </c>
      <c r="Q172">
        <v>12.6</v>
      </c>
      <c r="R172">
        <v>2.61</v>
      </c>
    </row>
    <row r="173" spans="1:18" x14ac:dyDescent="0.3">
      <c r="A173" s="1" t="s">
        <v>1095</v>
      </c>
      <c r="B173" s="1" t="s">
        <v>243</v>
      </c>
      <c r="C173" s="1" t="s">
        <v>288</v>
      </c>
      <c r="D173" s="1" t="s">
        <v>173</v>
      </c>
      <c r="E173" s="1" t="s">
        <v>13</v>
      </c>
      <c r="F173" s="1"/>
      <c r="G173">
        <v>0</v>
      </c>
      <c r="H173" s="1" t="s">
        <v>251</v>
      </c>
      <c r="I173" s="1" t="s">
        <v>398</v>
      </c>
      <c r="J173">
        <v>28</v>
      </c>
      <c r="K173">
        <v>-2</v>
      </c>
      <c r="L173">
        <v>235.5</v>
      </c>
      <c r="M173">
        <v>118.8</v>
      </c>
      <c r="N173">
        <v>0</v>
      </c>
      <c r="O173">
        <v>6.3</v>
      </c>
      <c r="P173">
        <v>11.4</v>
      </c>
      <c r="Q173">
        <v>12.2</v>
      </c>
      <c r="R173">
        <v>3.49</v>
      </c>
    </row>
    <row r="174" spans="1:18" x14ac:dyDescent="0.3">
      <c r="A174" s="1" t="s">
        <v>1096</v>
      </c>
      <c r="B174" s="1" t="s">
        <v>179</v>
      </c>
      <c r="C174" s="1" t="s">
        <v>1097</v>
      </c>
      <c r="D174" s="1" t="s">
        <v>168</v>
      </c>
      <c r="E174" s="1" t="s">
        <v>21</v>
      </c>
      <c r="F174" s="1" t="s">
        <v>13</v>
      </c>
      <c r="G174">
        <v>9</v>
      </c>
      <c r="H174" s="1" t="s">
        <v>385</v>
      </c>
      <c r="I174" s="1" t="s">
        <v>392</v>
      </c>
      <c r="J174">
        <v>8</v>
      </c>
      <c r="K174">
        <v>-2</v>
      </c>
      <c r="L174">
        <v>211</v>
      </c>
      <c r="M174">
        <v>106.5</v>
      </c>
      <c r="N174">
        <v>4.5999999999999996</v>
      </c>
      <c r="O174">
        <v>21.7</v>
      </c>
      <c r="P174">
        <v>43.6</v>
      </c>
      <c r="Q174">
        <v>12.2</v>
      </c>
      <c r="R174">
        <v>2.59</v>
      </c>
    </row>
    <row r="175" spans="1:18" x14ac:dyDescent="0.3">
      <c r="A175" s="1" t="s">
        <v>1098</v>
      </c>
      <c r="B175" s="1" t="s">
        <v>1099</v>
      </c>
      <c r="C175" s="1" t="s">
        <v>1100</v>
      </c>
      <c r="D175" s="1" t="s">
        <v>175</v>
      </c>
      <c r="E175" s="1" t="s">
        <v>13</v>
      </c>
      <c r="F175" s="1"/>
      <c r="G175">
        <v>1</v>
      </c>
      <c r="H175" s="1" t="s">
        <v>398</v>
      </c>
      <c r="I175" s="1" t="s">
        <v>251</v>
      </c>
      <c r="J175">
        <v>28</v>
      </c>
      <c r="K175">
        <v>2</v>
      </c>
      <c r="L175">
        <v>235.5</v>
      </c>
      <c r="M175">
        <v>116.8</v>
      </c>
      <c r="N175">
        <v>0</v>
      </c>
      <c r="O175">
        <v>8.9</v>
      </c>
      <c r="P175">
        <v>15.5</v>
      </c>
      <c r="Q175">
        <v>12.1</v>
      </c>
      <c r="R175">
        <v>3.27</v>
      </c>
    </row>
    <row r="176" spans="1:18" x14ac:dyDescent="0.3">
      <c r="A176" s="1" t="s">
        <v>1101</v>
      </c>
      <c r="B176" s="1" t="s">
        <v>182</v>
      </c>
      <c r="C176" s="1" t="s">
        <v>1102</v>
      </c>
      <c r="D176" s="1" t="s">
        <v>177</v>
      </c>
      <c r="E176" s="1" t="s">
        <v>18</v>
      </c>
      <c r="F176" s="1" t="s">
        <v>16</v>
      </c>
      <c r="G176">
        <v>367</v>
      </c>
      <c r="H176" s="1" t="s">
        <v>257</v>
      </c>
      <c r="I176" s="1" t="s">
        <v>383</v>
      </c>
      <c r="J176">
        <v>17</v>
      </c>
      <c r="K176">
        <v>-6</v>
      </c>
      <c r="L176">
        <v>213</v>
      </c>
      <c r="M176">
        <v>109.5</v>
      </c>
      <c r="N176">
        <v>0</v>
      </c>
      <c r="O176">
        <v>23.1</v>
      </c>
      <c r="P176">
        <v>42.8</v>
      </c>
      <c r="Q176">
        <v>12.1</v>
      </c>
      <c r="R176">
        <v>3.18</v>
      </c>
    </row>
    <row r="177" spans="1:18" x14ac:dyDescent="0.3">
      <c r="A177" s="1" t="s">
        <v>1103</v>
      </c>
      <c r="B177" s="1" t="s">
        <v>138</v>
      </c>
      <c r="C177" s="1" t="s">
        <v>1104</v>
      </c>
      <c r="D177" s="1" t="s">
        <v>173</v>
      </c>
      <c r="E177" s="1" t="s">
        <v>13</v>
      </c>
      <c r="F177" s="1"/>
      <c r="G177">
        <v>2</v>
      </c>
      <c r="H177" s="1" t="s">
        <v>389</v>
      </c>
      <c r="I177" s="1" t="s">
        <v>388</v>
      </c>
      <c r="J177">
        <v>18</v>
      </c>
      <c r="K177">
        <v>-4</v>
      </c>
      <c r="L177">
        <v>231</v>
      </c>
      <c r="M177">
        <v>117.5</v>
      </c>
      <c r="N177">
        <v>3.9</v>
      </c>
      <c r="O177">
        <v>12.1</v>
      </c>
      <c r="P177">
        <v>19</v>
      </c>
      <c r="Q177">
        <v>12</v>
      </c>
      <c r="R177">
        <v>3.42</v>
      </c>
    </row>
    <row r="178" spans="1:18" x14ac:dyDescent="0.3">
      <c r="A178" s="1" t="s">
        <v>1105</v>
      </c>
      <c r="B178" s="1" t="s">
        <v>286</v>
      </c>
      <c r="C178" s="1" t="s">
        <v>134</v>
      </c>
      <c r="D178" s="1" t="s">
        <v>171</v>
      </c>
      <c r="E178" s="1" t="s">
        <v>13</v>
      </c>
      <c r="F178" s="1"/>
      <c r="G178">
        <v>0</v>
      </c>
      <c r="H178" s="1" t="s">
        <v>251</v>
      </c>
      <c r="I178" s="1" t="s">
        <v>398</v>
      </c>
      <c r="J178">
        <v>1</v>
      </c>
      <c r="K178">
        <v>-2</v>
      </c>
      <c r="L178">
        <v>235.5</v>
      </c>
      <c r="M178">
        <v>118.8</v>
      </c>
      <c r="N178">
        <v>6.2</v>
      </c>
      <c r="O178">
        <v>18.600000000000001</v>
      </c>
      <c r="P178">
        <v>39.9</v>
      </c>
      <c r="Q178">
        <v>11.7</v>
      </c>
      <c r="R178">
        <v>2.59</v>
      </c>
    </row>
    <row r="179" spans="1:18" x14ac:dyDescent="0.3">
      <c r="A179" s="1" t="s">
        <v>1106</v>
      </c>
      <c r="B179" s="1" t="s">
        <v>1107</v>
      </c>
      <c r="C179" s="1" t="s">
        <v>1108</v>
      </c>
      <c r="D179" s="1" t="s">
        <v>166</v>
      </c>
      <c r="E179" s="1" t="s">
        <v>13</v>
      </c>
      <c r="F179" s="1" t="s">
        <v>14</v>
      </c>
      <c r="G179">
        <v>1</v>
      </c>
      <c r="H179" s="1" t="s">
        <v>392</v>
      </c>
      <c r="I179" s="1" t="s">
        <v>385</v>
      </c>
      <c r="J179">
        <v>26</v>
      </c>
      <c r="K179">
        <v>2</v>
      </c>
      <c r="L179">
        <v>211</v>
      </c>
      <c r="M179">
        <v>104.5</v>
      </c>
      <c r="N179">
        <v>8</v>
      </c>
      <c r="O179">
        <v>18.600000000000001</v>
      </c>
      <c r="P179">
        <v>31.5</v>
      </c>
      <c r="Q179">
        <v>11.7</v>
      </c>
      <c r="R179">
        <v>3.26</v>
      </c>
    </row>
    <row r="180" spans="1:18" x14ac:dyDescent="0.3">
      <c r="A180" s="1" t="s">
        <v>1109</v>
      </c>
      <c r="B180" s="1" t="s">
        <v>1110</v>
      </c>
      <c r="C180" s="1" t="s">
        <v>1111</v>
      </c>
      <c r="D180" s="1" t="s">
        <v>175</v>
      </c>
      <c r="E180" s="1" t="s">
        <v>16</v>
      </c>
      <c r="F180" s="1"/>
      <c r="G180">
        <v>1</v>
      </c>
      <c r="H180" s="1" t="s">
        <v>396</v>
      </c>
      <c r="I180" s="1" t="s">
        <v>397</v>
      </c>
      <c r="J180">
        <v>18</v>
      </c>
      <c r="K180">
        <v>2.5</v>
      </c>
      <c r="L180">
        <v>204.5</v>
      </c>
      <c r="M180">
        <v>101</v>
      </c>
      <c r="N180">
        <v>1.4</v>
      </c>
      <c r="O180">
        <v>12.5</v>
      </c>
      <c r="P180">
        <v>42.2</v>
      </c>
      <c r="Q180">
        <v>11.3</v>
      </c>
      <c r="R180">
        <v>3.04</v>
      </c>
    </row>
    <row r="181" spans="1:18" x14ac:dyDescent="0.3">
      <c r="A181" s="1" t="s">
        <v>1112</v>
      </c>
      <c r="B181" s="1" t="s">
        <v>183</v>
      </c>
      <c r="C181" s="1" t="s">
        <v>1113</v>
      </c>
      <c r="D181" s="1" t="s">
        <v>173</v>
      </c>
      <c r="E181" s="1" t="s">
        <v>21</v>
      </c>
      <c r="F181" s="1"/>
      <c r="G181">
        <v>2</v>
      </c>
      <c r="H181" s="1" t="s">
        <v>397</v>
      </c>
      <c r="I181" s="1" t="s">
        <v>396</v>
      </c>
      <c r="J181">
        <v>5</v>
      </c>
      <c r="K181">
        <v>-2.5</v>
      </c>
      <c r="L181">
        <v>204.5</v>
      </c>
      <c r="M181">
        <v>103.5</v>
      </c>
      <c r="N181">
        <v>0</v>
      </c>
      <c r="O181">
        <v>8.8000000000000007</v>
      </c>
      <c r="P181">
        <v>21.1</v>
      </c>
      <c r="Q181">
        <v>11</v>
      </c>
      <c r="R181">
        <v>3.13</v>
      </c>
    </row>
    <row r="182" spans="1:18" x14ac:dyDescent="0.3">
      <c r="A182" s="1" t="s">
        <v>1114</v>
      </c>
      <c r="B182" s="1" t="s">
        <v>182</v>
      </c>
      <c r="C182" s="1" t="s">
        <v>1055</v>
      </c>
      <c r="D182" s="1" t="s">
        <v>173</v>
      </c>
      <c r="E182" s="1" t="s">
        <v>21</v>
      </c>
      <c r="F182" s="1"/>
      <c r="G182">
        <v>1</v>
      </c>
      <c r="H182" s="1" t="s">
        <v>408</v>
      </c>
      <c r="I182" s="1" t="s">
        <v>401</v>
      </c>
      <c r="J182">
        <v>6</v>
      </c>
      <c r="K182">
        <v>-7</v>
      </c>
      <c r="L182">
        <v>233.5</v>
      </c>
      <c r="M182">
        <v>120.3</v>
      </c>
      <c r="N182">
        <v>4.4000000000000004</v>
      </c>
      <c r="O182">
        <v>10</v>
      </c>
      <c r="P182">
        <v>14.1</v>
      </c>
      <c r="Q182">
        <v>10.7</v>
      </c>
      <c r="R182">
        <v>3.05</v>
      </c>
    </row>
    <row r="183" spans="1:18" x14ac:dyDescent="0.3">
      <c r="A183" s="1" t="s">
        <v>1115</v>
      </c>
      <c r="B183" s="1" t="s">
        <v>284</v>
      </c>
      <c r="C183" s="1" t="s">
        <v>285</v>
      </c>
      <c r="D183" s="1" t="s">
        <v>166</v>
      </c>
      <c r="E183" s="1" t="s">
        <v>16</v>
      </c>
      <c r="F183" s="1" t="s">
        <v>18</v>
      </c>
      <c r="G183">
        <v>0</v>
      </c>
      <c r="H183" s="1" t="s">
        <v>251</v>
      </c>
      <c r="I183" s="1" t="s">
        <v>398</v>
      </c>
      <c r="J183">
        <v>25</v>
      </c>
      <c r="K183">
        <v>-2</v>
      </c>
      <c r="L183">
        <v>235.5</v>
      </c>
      <c r="M183">
        <v>118.8</v>
      </c>
      <c r="N183">
        <v>11</v>
      </c>
      <c r="O183">
        <v>17.100000000000001</v>
      </c>
      <c r="P183">
        <v>20.8</v>
      </c>
      <c r="Q183">
        <v>10.4</v>
      </c>
      <c r="R183">
        <v>2.9</v>
      </c>
    </row>
    <row r="184" spans="1:18" x14ac:dyDescent="0.3">
      <c r="A184" s="1" t="s">
        <v>1116</v>
      </c>
      <c r="B184" s="1" t="s">
        <v>182</v>
      </c>
      <c r="C184" s="1" t="s">
        <v>1117</v>
      </c>
      <c r="D184" s="1" t="s">
        <v>173</v>
      </c>
      <c r="E184" s="1" t="s">
        <v>16</v>
      </c>
      <c r="F184" s="1"/>
      <c r="G184">
        <v>2</v>
      </c>
      <c r="H184" s="1" t="s">
        <v>389</v>
      </c>
      <c r="I184" s="1" t="s">
        <v>388</v>
      </c>
      <c r="J184">
        <v>11</v>
      </c>
      <c r="K184">
        <v>-4</v>
      </c>
      <c r="L184">
        <v>231</v>
      </c>
      <c r="M184">
        <v>117.5</v>
      </c>
      <c r="N184">
        <v>3.9</v>
      </c>
      <c r="O184">
        <v>7.5</v>
      </c>
      <c r="P184">
        <v>12</v>
      </c>
      <c r="Q184">
        <v>9.9</v>
      </c>
      <c r="R184">
        <v>2.84</v>
      </c>
    </row>
    <row r="185" spans="1:18" x14ac:dyDescent="0.3">
      <c r="A185" s="1" t="s">
        <v>1118</v>
      </c>
      <c r="B185" s="1" t="s">
        <v>135</v>
      </c>
      <c r="C185" s="1" t="s">
        <v>1119</v>
      </c>
      <c r="D185" s="1" t="s">
        <v>173</v>
      </c>
      <c r="E185" s="1" t="s">
        <v>16</v>
      </c>
      <c r="F185" s="1" t="s">
        <v>18</v>
      </c>
      <c r="G185">
        <v>1</v>
      </c>
      <c r="H185" s="1" t="s">
        <v>398</v>
      </c>
      <c r="I185" s="1" t="s">
        <v>251</v>
      </c>
      <c r="J185">
        <v>10</v>
      </c>
      <c r="K185">
        <v>2</v>
      </c>
      <c r="L185">
        <v>235.5</v>
      </c>
      <c r="M185">
        <v>116.8</v>
      </c>
      <c r="N185">
        <v>3.6</v>
      </c>
      <c r="O185">
        <v>8</v>
      </c>
      <c r="P185">
        <v>18.100000000000001</v>
      </c>
      <c r="Q185">
        <v>9.6</v>
      </c>
      <c r="R185">
        <v>2.73</v>
      </c>
    </row>
    <row r="186" spans="1:18" x14ac:dyDescent="0.3">
      <c r="A186" s="1" t="s">
        <v>1120</v>
      </c>
      <c r="B186" s="1" t="s">
        <v>154</v>
      </c>
      <c r="C186" s="1" t="s">
        <v>1121</v>
      </c>
      <c r="D186" s="1" t="s">
        <v>161</v>
      </c>
      <c r="E186" s="1" t="s">
        <v>18</v>
      </c>
      <c r="F186" s="1" t="s">
        <v>16</v>
      </c>
      <c r="G186">
        <v>1</v>
      </c>
      <c r="H186" s="1" t="s">
        <v>427</v>
      </c>
      <c r="I186" s="1" t="s">
        <v>428</v>
      </c>
      <c r="J186">
        <v>6</v>
      </c>
      <c r="K186">
        <v>-5.5</v>
      </c>
      <c r="L186">
        <v>222.5</v>
      </c>
      <c r="M186">
        <v>114</v>
      </c>
      <c r="N186">
        <v>1</v>
      </c>
      <c r="O186">
        <v>12.8</v>
      </c>
      <c r="P186">
        <v>35.6</v>
      </c>
      <c r="Q186">
        <v>9.1999999999999993</v>
      </c>
      <c r="R186">
        <v>2.19</v>
      </c>
    </row>
    <row r="187" spans="1:18" x14ac:dyDescent="0.3">
      <c r="A187" s="1" t="s">
        <v>1122</v>
      </c>
      <c r="B187" s="1" t="s">
        <v>156</v>
      </c>
      <c r="C187" s="1" t="s">
        <v>134</v>
      </c>
      <c r="D187" s="1" t="s">
        <v>173</v>
      </c>
      <c r="E187" s="1" t="s">
        <v>13</v>
      </c>
      <c r="F187" s="1"/>
      <c r="G187">
        <v>2</v>
      </c>
      <c r="H187" s="1" t="s">
        <v>397</v>
      </c>
      <c r="I187" s="1" t="s">
        <v>396</v>
      </c>
      <c r="J187">
        <v>15</v>
      </c>
      <c r="K187">
        <v>-2.5</v>
      </c>
      <c r="L187">
        <v>204.5</v>
      </c>
      <c r="M187">
        <v>103.5</v>
      </c>
      <c r="N187">
        <v>2.4</v>
      </c>
      <c r="O187">
        <v>9.1999999999999993</v>
      </c>
      <c r="P187">
        <v>16.8</v>
      </c>
      <c r="Q187">
        <v>8.8000000000000007</v>
      </c>
      <c r="R187">
        <v>2.5099999999999998</v>
      </c>
    </row>
    <row r="188" spans="1:18" x14ac:dyDescent="0.3">
      <c r="A188" s="1" t="s">
        <v>1123</v>
      </c>
      <c r="B188" s="1" t="s">
        <v>128</v>
      </c>
      <c r="C188" s="1" t="s">
        <v>1124</v>
      </c>
      <c r="D188" s="1" t="s">
        <v>177</v>
      </c>
      <c r="E188" s="1" t="s">
        <v>13</v>
      </c>
      <c r="F188" s="1"/>
      <c r="G188">
        <v>1</v>
      </c>
      <c r="H188" s="1" t="s">
        <v>408</v>
      </c>
      <c r="I188" s="1" t="s">
        <v>401</v>
      </c>
      <c r="J188">
        <v>30</v>
      </c>
      <c r="K188">
        <v>-7</v>
      </c>
      <c r="L188">
        <v>233.5</v>
      </c>
      <c r="M188">
        <v>120.3</v>
      </c>
      <c r="N188">
        <v>0.2</v>
      </c>
      <c r="O188">
        <v>18</v>
      </c>
      <c r="P188">
        <v>31</v>
      </c>
      <c r="Q188">
        <v>8.5</v>
      </c>
      <c r="R188">
        <v>2.2400000000000002</v>
      </c>
    </row>
    <row r="189" spans="1:18" x14ac:dyDescent="0.3">
      <c r="A189" s="1" t="s">
        <v>1125</v>
      </c>
      <c r="B189" s="1" t="s">
        <v>1126</v>
      </c>
      <c r="C189" s="1" t="s">
        <v>1127</v>
      </c>
      <c r="D189" s="1" t="s">
        <v>177</v>
      </c>
      <c r="E189" s="1" t="s">
        <v>18</v>
      </c>
      <c r="F189" s="1" t="s">
        <v>16</v>
      </c>
      <c r="G189">
        <v>1</v>
      </c>
      <c r="H189" s="1" t="s">
        <v>408</v>
      </c>
      <c r="I189" s="1" t="s">
        <v>401</v>
      </c>
      <c r="J189">
        <v>30</v>
      </c>
      <c r="K189">
        <v>-7</v>
      </c>
      <c r="L189">
        <v>233.5</v>
      </c>
      <c r="M189">
        <v>120.3</v>
      </c>
      <c r="N189">
        <v>0</v>
      </c>
      <c r="O189">
        <v>9.1</v>
      </c>
      <c r="P189">
        <v>14</v>
      </c>
      <c r="Q189">
        <v>8.1999999999999993</v>
      </c>
      <c r="R189">
        <v>2.16</v>
      </c>
    </row>
    <row r="190" spans="1:18" x14ac:dyDescent="0.3">
      <c r="A190" s="1" t="s">
        <v>1128</v>
      </c>
      <c r="B190" s="1" t="s">
        <v>1129</v>
      </c>
      <c r="C190" s="1" t="s">
        <v>1130</v>
      </c>
      <c r="D190" s="1" t="s">
        <v>173</v>
      </c>
      <c r="E190" s="1" t="s">
        <v>21</v>
      </c>
      <c r="F190" s="1" t="s">
        <v>13</v>
      </c>
      <c r="G190">
        <v>1</v>
      </c>
      <c r="H190" s="1" t="s">
        <v>401</v>
      </c>
      <c r="I190" s="1" t="s">
        <v>408</v>
      </c>
      <c r="J190">
        <v>9</v>
      </c>
      <c r="K190">
        <v>7</v>
      </c>
      <c r="L190">
        <v>233.5</v>
      </c>
      <c r="M190">
        <v>113.3</v>
      </c>
      <c r="N190">
        <v>2.9</v>
      </c>
      <c r="O190">
        <v>9.3000000000000007</v>
      </c>
      <c r="P190">
        <v>13.7</v>
      </c>
      <c r="Q190">
        <v>7.8</v>
      </c>
      <c r="R190">
        <v>2.23</v>
      </c>
    </row>
    <row r="191" spans="1:18" x14ac:dyDescent="0.3">
      <c r="A191" s="1" t="s">
        <v>1131</v>
      </c>
      <c r="B191" s="1" t="s">
        <v>138</v>
      </c>
      <c r="C191" s="1" t="s">
        <v>1132</v>
      </c>
      <c r="D191" s="1" t="s">
        <v>177</v>
      </c>
      <c r="E191" s="1" t="s">
        <v>13</v>
      </c>
      <c r="F191" s="1"/>
      <c r="G191">
        <v>4</v>
      </c>
      <c r="H191" s="1" t="s">
        <v>401</v>
      </c>
      <c r="I191" s="1" t="s">
        <v>408</v>
      </c>
      <c r="J191">
        <v>9</v>
      </c>
      <c r="K191">
        <v>7</v>
      </c>
      <c r="L191">
        <v>233.5</v>
      </c>
      <c r="M191">
        <v>113.3</v>
      </c>
      <c r="N191">
        <v>7.4</v>
      </c>
      <c r="O191">
        <v>14.8</v>
      </c>
      <c r="P191">
        <v>20.6</v>
      </c>
      <c r="Q191">
        <v>7.6</v>
      </c>
      <c r="R191">
        <v>2</v>
      </c>
    </row>
    <row r="192" spans="1:18" x14ac:dyDescent="0.3">
      <c r="A192" s="1" t="s">
        <v>1133</v>
      </c>
      <c r="B192" s="1" t="s">
        <v>128</v>
      </c>
      <c r="C192" s="1" t="s">
        <v>1055</v>
      </c>
      <c r="D192" s="1" t="s">
        <v>175</v>
      </c>
      <c r="E192" s="1" t="s">
        <v>14</v>
      </c>
      <c r="F192" s="1" t="s">
        <v>16</v>
      </c>
      <c r="G192">
        <v>1</v>
      </c>
      <c r="H192" s="1" t="s">
        <v>398</v>
      </c>
      <c r="I192" s="1" t="s">
        <v>251</v>
      </c>
      <c r="J192">
        <v>1</v>
      </c>
      <c r="K192">
        <v>2</v>
      </c>
      <c r="L192">
        <v>235.5</v>
      </c>
      <c r="M192">
        <v>116.8</v>
      </c>
      <c r="N192">
        <v>2.4</v>
      </c>
      <c r="O192">
        <v>7.4</v>
      </c>
      <c r="P192">
        <v>12.9</v>
      </c>
      <c r="Q192">
        <v>7.6</v>
      </c>
      <c r="R192">
        <v>2.04</v>
      </c>
    </row>
    <row r="193" spans="1:18" x14ac:dyDescent="0.3">
      <c r="A193" s="1" t="s">
        <v>1134</v>
      </c>
      <c r="B193" s="1" t="s">
        <v>129</v>
      </c>
      <c r="C193" s="1" t="s">
        <v>287</v>
      </c>
      <c r="D193" s="1" t="s">
        <v>177</v>
      </c>
      <c r="E193" s="1" t="s">
        <v>14</v>
      </c>
      <c r="F193" s="1"/>
      <c r="G193">
        <v>0</v>
      </c>
      <c r="H193" s="1" t="s">
        <v>257</v>
      </c>
      <c r="I193" s="1" t="s">
        <v>383</v>
      </c>
      <c r="J193">
        <v>17</v>
      </c>
      <c r="K193">
        <v>-6</v>
      </c>
      <c r="L193">
        <v>213</v>
      </c>
      <c r="M193">
        <v>109.5</v>
      </c>
      <c r="N193">
        <v>9.1</v>
      </c>
      <c r="O193">
        <v>16.399999999999999</v>
      </c>
      <c r="P193">
        <v>23.4</v>
      </c>
      <c r="Q193">
        <v>7.5</v>
      </c>
      <c r="R193">
        <v>1.96</v>
      </c>
    </row>
    <row r="194" spans="1:18" x14ac:dyDescent="0.3">
      <c r="A194" s="1" t="s">
        <v>1135</v>
      </c>
      <c r="B194" s="1" t="s">
        <v>129</v>
      </c>
      <c r="C194" s="1" t="s">
        <v>1136</v>
      </c>
      <c r="D194" s="1" t="s">
        <v>166</v>
      </c>
      <c r="E194" s="1" t="s">
        <v>13</v>
      </c>
      <c r="F194" s="1"/>
      <c r="G194">
        <v>1</v>
      </c>
      <c r="H194" s="1" t="s">
        <v>428</v>
      </c>
      <c r="I194" s="1" t="s">
        <v>427</v>
      </c>
      <c r="J194">
        <v>23</v>
      </c>
      <c r="K194">
        <v>5.5</v>
      </c>
      <c r="L194">
        <v>222.5</v>
      </c>
      <c r="M194">
        <v>108.5</v>
      </c>
      <c r="N194">
        <v>0</v>
      </c>
      <c r="O194">
        <v>7.3</v>
      </c>
      <c r="P194">
        <v>15</v>
      </c>
      <c r="Q194">
        <v>7.1</v>
      </c>
      <c r="R194">
        <v>1.98</v>
      </c>
    </row>
    <row r="195" spans="1:18" x14ac:dyDescent="0.3">
      <c r="A195" s="1" t="s">
        <v>1137</v>
      </c>
      <c r="B195" s="1" t="s">
        <v>246</v>
      </c>
      <c r="C195" s="1" t="s">
        <v>1138</v>
      </c>
      <c r="D195" s="1" t="s">
        <v>173</v>
      </c>
      <c r="E195" s="1" t="s">
        <v>18</v>
      </c>
      <c r="F195" s="1"/>
      <c r="G195">
        <v>1</v>
      </c>
      <c r="H195" s="1" t="s">
        <v>388</v>
      </c>
      <c r="I195" s="1" t="s">
        <v>389</v>
      </c>
      <c r="J195">
        <v>2</v>
      </c>
      <c r="K195">
        <v>4</v>
      </c>
      <c r="L195">
        <v>231</v>
      </c>
      <c r="M195">
        <v>113.5</v>
      </c>
      <c r="N195">
        <v>0.5</v>
      </c>
      <c r="O195">
        <v>8.4</v>
      </c>
      <c r="P195">
        <v>20.5</v>
      </c>
      <c r="Q195">
        <v>7</v>
      </c>
      <c r="R195">
        <v>2</v>
      </c>
    </row>
    <row r="196" spans="1:18" x14ac:dyDescent="0.3">
      <c r="A196" s="1" t="s">
        <v>1139</v>
      </c>
      <c r="B196" s="1" t="s">
        <v>1140</v>
      </c>
      <c r="C196" s="1" t="s">
        <v>1141</v>
      </c>
      <c r="D196" s="1" t="s">
        <v>173</v>
      </c>
      <c r="E196" s="1" t="s">
        <v>16</v>
      </c>
      <c r="F196" s="1" t="s">
        <v>14</v>
      </c>
      <c r="G196">
        <v>1</v>
      </c>
      <c r="H196" s="1" t="s">
        <v>428</v>
      </c>
      <c r="I196" s="1" t="s">
        <v>427</v>
      </c>
      <c r="J196">
        <v>15</v>
      </c>
      <c r="K196">
        <v>5.5</v>
      </c>
      <c r="L196">
        <v>222.5</v>
      </c>
      <c r="M196">
        <v>108.5</v>
      </c>
      <c r="N196">
        <v>0.2</v>
      </c>
      <c r="O196">
        <v>6.5</v>
      </c>
      <c r="P196">
        <v>13.8</v>
      </c>
      <c r="Q196">
        <v>6.9</v>
      </c>
      <c r="R196">
        <v>1.98</v>
      </c>
    </row>
    <row r="197" spans="1:18" x14ac:dyDescent="0.3">
      <c r="A197" s="1" t="s">
        <v>1142</v>
      </c>
      <c r="B197" s="1" t="s">
        <v>140</v>
      </c>
      <c r="C197" s="1" t="s">
        <v>1143</v>
      </c>
      <c r="D197" s="1" t="s">
        <v>177</v>
      </c>
      <c r="E197" s="1" t="s">
        <v>16</v>
      </c>
      <c r="F197" s="1" t="s">
        <v>14</v>
      </c>
      <c r="G197">
        <v>64</v>
      </c>
      <c r="H197" s="1" t="s">
        <v>410</v>
      </c>
      <c r="I197" s="1" t="s">
        <v>424</v>
      </c>
      <c r="J197">
        <v>24</v>
      </c>
      <c r="K197">
        <v>3</v>
      </c>
      <c r="L197">
        <v>223</v>
      </c>
      <c r="M197">
        <v>110</v>
      </c>
      <c r="N197">
        <v>10.1</v>
      </c>
      <c r="O197">
        <v>13.6</v>
      </c>
      <c r="P197">
        <v>16.2</v>
      </c>
      <c r="Q197">
        <v>0</v>
      </c>
      <c r="R197">
        <v>0</v>
      </c>
    </row>
    <row r="198" spans="1:18" x14ac:dyDescent="0.3">
      <c r="A198" s="1" t="s">
        <v>1144</v>
      </c>
      <c r="B198" s="1" t="s">
        <v>128</v>
      </c>
      <c r="C198" s="1" t="s">
        <v>1145</v>
      </c>
      <c r="D198" s="1" t="s">
        <v>1146</v>
      </c>
      <c r="E198" s="1" t="s">
        <v>14</v>
      </c>
      <c r="F198" s="1" t="s">
        <v>13</v>
      </c>
      <c r="G198">
        <v>8</v>
      </c>
      <c r="H198" s="1" t="s">
        <v>410</v>
      </c>
      <c r="I198" s="1" t="s">
        <v>424</v>
      </c>
      <c r="J198">
        <v>21</v>
      </c>
      <c r="K198">
        <v>3</v>
      </c>
      <c r="L198">
        <v>223</v>
      </c>
      <c r="M198">
        <v>110</v>
      </c>
      <c r="N198">
        <v>30.5</v>
      </c>
      <c r="O198">
        <v>44.8</v>
      </c>
      <c r="P198">
        <v>65.099999999999994</v>
      </c>
      <c r="Q198">
        <v>0</v>
      </c>
      <c r="R198">
        <v>0</v>
      </c>
    </row>
    <row r="199" spans="1:18" x14ac:dyDescent="0.3">
      <c r="A199" s="1" t="s">
        <v>303</v>
      </c>
      <c r="B199" s="1" t="s">
        <v>179</v>
      </c>
      <c r="C199" s="1" t="s">
        <v>299</v>
      </c>
      <c r="D199" s="1" t="s">
        <v>173</v>
      </c>
      <c r="E199" s="1" t="s">
        <v>14</v>
      </c>
      <c r="F199" s="1" t="s">
        <v>16</v>
      </c>
      <c r="G199">
        <v>75</v>
      </c>
      <c r="H199" s="1" t="s">
        <v>251</v>
      </c>
      <c r="I199" s="1" t="s">
        <v>398</v>
      </c>
      <c r="J199">
        <v>1</v>
      </c>
      <c r="K199">
        <v>-2</v>
      </c>
      <c r="L199">
        <v>235.5</v>
      </c>
      <c r="M199">
        <v>118.8</v>
      </c>
      <c r="N199">
        <v>6.2</v>
      </c>
      <c r="O199">
        <v>12.7</v>
      </c>
      <c r="P199">
        <v>16</v>
      </c>
      <c r="Q199">
        <v>0</v>
      </c>
      <c r="R199">
        <v>0</v>
      </c>
    </row>
    <row r="200" spans="1:18" x14ac:dyDescent="0.3">
      <c r="A200" s="1" t="s">
        <v>1147</v>
      </c>
      <c r="B200" s="1" t="s">
        <v>1148</v>
      </c>
      <c r="C200" s="1" t="s">
        <v>1149</v>
      </c>
      <c r="D200" s="1" t="s">
        <v>175</v>
      </c>
      <c r="E200" s="1" t="s">
        <v>18</v>
      </c>
      <c r="F200" s="1"/>
      <c r="G200">
        <v>4</v>
      </c>
      <c r="H200" s="1" t="s">
        <v>427</v>
      </c>
      <c r="I200" s="1" t="s">
        <v>428</v>
      </c>
      <c r="J200">
        <v>20</v>
      </c>
      <c r="K200">
        <v>-5.5</v>
      </c>
      <c r="L200">
        <v>222.5</v>
      </c>
      <c r="M200">
        <v>114</v>
      </c>
      <c r="N200">
        <v>2.6</v>
      </c>
      <c r="O200">
        <v>9.8000000000000007</v>
      </c>
      <c r="P200">
        <v>23.4</v>
      </c>
      <c r="Q200">
        <v>0</v>
      </c>
      <c r="R200">
        <v>0</v>
      </c>
    </row>
    <row r="201" spans="1:18" x14ac:dyDescent="0.3">
      <c r="A201" s="1" t="s">
        <v>1150</v>
      </c>
      <c r="B201" s="1" t="s">
        <v>1151</v>
      </c>
      <c r="C201" s="1" t="s">
        <v>1152</v>
      </c>
      <c r="D201" s="1" t="s">
        <v>165</v>
      </c>
      <c r="E201" s="1" t="s">
        <v>14</v>
      </c>
      <c r="F201" s="1"/>
      <c r="G201">
        <v>4</v>
      </c>
      <c r="H201" s="1" t="s">
        <v>427</v>
      </c>
      <c r="I201" s="1" t="s">
        <v>428</v>
      </c>
      <c r="J201">
        <v>6</v>
      </c>
      <c r="K201">
        <v>-5.5</v>
      </c>
      <c r="L201">
        <v>222.5</v>
      </c>
      <c r="M201">
        <v>114</v>
      </c>
      <c r="N201">
        <v>-1</v>
      </c>
      <c r="O201">
        <v>9.1</v>
      </c>
      <c r="P201">
        <v>45.6</v>
      </c>
      <c r="Q201">
        <v>0</v>
      </c>
      <c r="R201">
        <v>0</v>
      </c>
    </row>
    <row r="202" spans="1:18" x14ac:dyDescent="0.3">
      <c r="A202" s="1" t="s">
        <v>1153</v>
      </c>
      <c r="B202" s="1" t="s">
        <v>278</v>
      </c>
      <c r="C202" s="1" t="s">
        <v>1154</v>
      </c>
      <c r="D202" s="1" t="s">
        <v>170</v>
      </c>
      <c r="E202" s="1" t="s">
        <v>21</v>
      </c>
      <c r="F202" s="1"/>
      <c r="G202">
        <v>6</v>
      </c>
      <c r="H202" s="1" t="s">
        <v>408</v>
      </c>
      <c r="I202" s="1" t="s">
        <v>401</v>
      </c>
      <c r="J202">
        <v>6</v>
      </c>
      <c r="K202">
        <v>-7</v>
      </c>
      <c r="L202">
        <v>233.5</v>
      </c>
      <c r="M202">
        <v>120.3</v>
      </c>
      <c r="N202">
        <v>5.2</v>
      </c>
      <c r="O202">
        <v>14.9</v>
      </c>
      <c r="P202">
        <v>26.9</v>
      </c>
      <c r="Q202">
        <v>0</v>
      </c>
      <c r="R202">
        <v>0</v>
      </c>
    </row>
    <row r="203" spans="1:18" x14ac:dyDescent="0.3">
      <c r="A203" s="1" t="s">
        <v>1155</v>
      </c>
      <c r="B203" s="1" t="s">
        <v>283</v>
      </c>
      <c r="C203" s="1" t="s">
        <v>1156</v>
      </c>
      <c r="D203" s="1" t="s">
        <v>173</v>
      </c>
      <c r="E203" s="1" t="s">
        <v>21</v>
      </c>
      <c r="F203" s="1" t="s">
        <v>13</v>
      </c>
      <c r="G203">
        <v>263</v>
      </c>
      <c r="H203" s="1" t="s">
        <v>401</v>
      </c>
      <c r="I203" s="1" t="s">
        <v>408</v>
      </c>
      <c r="J203">
        <v>9</v>
      </c>
      <c r="K203">
        <v>7</v>
      </c>
      <c r="L203">
        <v>233.5</v>
      </c>
      <c r="M203">
        <v>113.3</v>
      </c>
      <c r="N203">
        <v>7.2</v>
      </c>
      <c r="O203">
        <v>34.799999999999997</v>
      </c>
      <c r="P203">
        <v>55.1</v>
      </c>
      <c r="Q203">
        <v>0</v>
      </c>
      <c r="R203">
        <v>0</v>
      </c>
    </row>
    <row r="204" spans="1:18" x14ac:dyDescent="0.3">
      <c r="A204" s="1" t="s">
        <v>1157</v>
      </c>
      <c r="B204" s="1" t="s">
        <v>1158</v>
      </c>
      <c r="C204" s="1" t="s">
        <v>1159</v>
      </c>
      <c r="D204" s="1" t="s">
        <v>801</v>
      </c>
      <c r="E204" s="1" t="s">
        <v>21</v>
      </c>
      <c r="F204" s="1"/>
      <c r="G204">
        <v>205</v>
      </c>
      <c r="H204" s="1" t="s">
        <v>381</v>
      </c>
      <c r="I204" s="1" t="s">
        <v>382</v>
      </c>
      <c r="J204">
        <v>14</v>
      </c>
      <c r="K204">
        <v>-5.5</v>
      </c>
      <c r="L204">
        <v>225</v>
      </c>
      <c r="M204">
        <v>115.3</v>
      </c>
      <c r="N204">
        <v>25.3</v>
      </c>
      <c r="O204">
        <v>33.799999999999997</v>
      </c>
      <c r="P204">
        <v>44.9</v>
      </c>
      <c r="Q204">
        <v>0</v>
      </c>
      <c r="R204">
        <v>0</v>
      </c>
    </row>
    <row r="205" spans="1:18" x14ac:dyDescent="0.3">
      <c r="A205" s="1" t="s">
        <v>1160</v>
      </c>
      <c r="B205" s="1" t="s">
        <v>1151</v>
      </c>
      <c r="C205" s="1" t="s">
        <v>1161</v>
      </c>
      <c r="D205" s="1" t="s">
        <v>173</v>
      </c>
      <c r="E205" s="1" t="s">
        <v>21</v>
      </c>
      <c r="F205" s="1" t="s">
        <v>13</v>
      </c>
      <c r="G205">
        <v>90</v>
      </c>
      <c r="H205" s="1" t="s">
        <v>383</v>
      </c>
      <c r="I205" s="1" t="s">
        <v>257</v>
      </c>
      <c r="J205">
        <v>14</v>
      </c>
      <c r="K205">
        <v>6</v>
      </c>
      <c r="L205">
        <v>213</v>
      </c>
      <c r="M205">
        <v>103.5</v>
      </c>
      <c r="N205">
        <v>2.2000000000000002</v>
      </c>
      <c r="O205">
        <v>9.9</v>
      </c>
      <c r="P205">
        <v>15.5</v>
      </c>
      <c r="Q205">
        <v>0</v>
      </c>
      <c r="R205">
        <v>0</v>
      </c>
    </row>
    <row r="206" spans="1:18" x14ac:dyDescent="0.3">
      <c r="A206" s="1" t="s">
        <v>1162</v>
      </c>
      <c r="B206" s="1" t="s">
        <v>1163</v>
      </c>
      <c r="C206" s="1" t="s">
        <v>1164</v>
      </c>
      <c r="D206" s="1" t="s">
        <v>173</v>
      </c>
      <c r="E206" s="1" t="s">
        <v>14</v>
      </c>
      <c r="F206" s="1" t="s">
        <v>16</v>
      </c>
      <c r="G206">
        <v>37</v>
      </c>
      <c r="H206" s="1" t="s">
        <v>424</v>
      </c>
      <c r="I206" s="1" t="s">
        <v>410</v>
      </c>
      <c r="J206">
        <v>2</v>
      </c>
      <c r="K206">
        <v>-3</v>
      </c>
      <c r="L206">
        <v>223</v>
      </c>
      <c r="M206">
        <v>113</v>
      </c>
      <c r="N206">
        <v>2.7</v>
      </c>
      <c r="O206">
        <v>4.0999999999999996</v>
      </c>
      <c r="P206">
        <v>6.6</v>
      </c>
      <c r="Q206">
        <v>0</v>
      </c>
      <c r="R206">
        <v>0</v>
      </c>
    </row>
    <row r="207" spans="1:18" x14ac:dyDescent="0.3">
      <c r="A207" s="1" t="s">
        <v>289</v>
      </c>
      <c r="B207" s="1" t="s">
        <v>285</v>
      </c>
      <c r="C207" s="1" t="s">
        <v>290</v>
      </c>
      <c r="D207" s="1" t="s">
        <v>291</v>
      </c>
      <c r="E207" s="1" t="s">
        <v>13</v>
      </c>
      <c r="F207" s="1"/>
      <c r="G207">
        <v>2</v>
      </c>
      <c r="H207" s="1" t="s">
        <v>257</v>
      </c>
      <c r="I207" s="1" t="s">
        <v>383</v>
      </c>
      <c r="J207">
        <v>23</v>
      </c>
      <c r="K207">
        <v>-6</v>
      </c>
      <c r="L207">
        <v>213</v>
      </c>
      <c r="M207">
        <v>109.5</v>
      </c>
      <c r="N207">
        <v>36.6</v>
      </c>
      <c r="O207">
        <v>47.6</v>
      </c>
      <c r="P207">
        <v>64.900000000000006</v>
      </c>
      <c r="Q207">
        <v>0</v>
      </c>
      <c r="R207">
        <v>0</v>
      </c>
    </row>
    <row r="208" spans="1:18" x14ac:dyDescent="0.3">
      <c r="A208" s="1" t="s">
        <v>1165</v>
      </c>
      <c r="B208" s="1" t="s">
        <v>209</v>
      </c>
      <c r="C208" s="1" t="s">
        <v>1166</v>
      </c>
      <c r="D208" s="1" t="s">
        <v>168</v>
      </c>
      <c r="E208" s="1" t="s">
        <v>13</v>
      </c>
      <c r="F208" s="1"/>
      <c r="G208">
        <v>278</v>
      </c>
      <c r="H208" s="1" t="s">
        <v>410</v>
      </c>
      <c r="I208" s="1" t="s">
        <v>424</v>
      </c>
      <c r="J208">
        <v>30</v>
      </c>
      <c r="K208">
        <v>3</v>
      </c>
      <c r="L208">
        <v>223</v>
      </c>
      <c r="M208">
        <v>110</v>
      </c>
      <c r="N208">
        <v>20.100000000000001</v>
      </c>
      <c r="O208">
        <v>28.8</v>
      </c>
      <c r="P208">
        <v>45</v>
      </c>
      <c r="Q208">
        <v>0</v>
      </c>
      <c r="R208">
        <v>0</v>
      </c>
    </row>
    <row r="209" spans="1:18" x14ac:dyDescent="0.3">
      <c r="A209" s="1" t="s">
        <v>1167</v>
      </c>
      <c r="B209" s="1" t="s">
        <v>160</v>
      </c>
      <c r="C209" s="1" t="s">
        <v>1168</v>
      </c>
      <c r="D209" s="1" t="s">
        <v>170</v>
      </c>
      <c r="E209" s="1" t="s">
        <v>14</v>
      </c>
      <c r="F209" s="1" t="s">
        <v>13</v>
      </c>
      <c r="G209">
        <v>9</v>
      </c>
      <c r="H209" s="1" t="s">
        <v>428</v>
      </c>
      <c r="I209" s="1" t="s">
        <v>427</v>
      </c>
      <c r="J209">
        <v>23</v>
      </c>
      <c r="K209">
        <v>5.5</v>
      </c>
      <c r="L209">
        <v>222.5</v>
      </c>
      <c r="M209">
        <v>108.5</v>
      </c>
      <c r="N209">
        <v>10.7</v>
      </c>
      <c r="O209">
        <v>16</v>
      </c>
      <c r="P209">
        <v>25.6</v>
      </c>
      <c r="Q209">
        <v>0</v>
      </c>
      <c r="R209">
        <v>0</v>
      </c>
    </row>
    <row r="210" spans="1:18" x14ac:dyDescent="0.3">
      <c r="A210" s="1" t="s">
        <v>1169</v>
      </c>
      <c r="B210" s="1" t="s">
        <v>138</v>
      </c>
      <c r="C210" s="1" t="s">
        <v>1170</v>
      </c>
      <c r="D210" s="1" t="s">
        <v>1171</v>
      </c>
      <c r="E210" s="1" t="s">
        <v>16</v>
      </c>
      <c r="F210" s="1" t="s">
        <v>18</v>
      </c>
      <c r="G210">
        <v>25</v>
      </c>
      <c r="H210" s="1" t="s">
        <v>389</v>
      </c>
      <c r="I210" s="1" t="s">
        <v>388</v>
      </c>
      <c r="J210">
        <v>11</v>
      </c>
      <c r="K210">
        <v>-4</v>
      </c>
      <c r="L210">
        <v>231</v>
      </c>
      <c r="M210">
        <v>117.5</v>
      </c>
      <c r="N210">
        <v>10.199999999999999</v>
      </c>
      <c r="O210">
        <v>34.9</v>
      </c>
      <c r="P210">
        <v>49.7</v>
      </c>
      <c r="Q210">
        <v>0</v>
      </c>
      <c r="R210">
        <v>0</v>
      </c>
    </row>
    <row r="211" spans="1:18" x14ac:dyDescent="0.3">
      <c r="A211" s="1" t="s">
        <v>1172</v>
      </c>
      <c r="B211" s="1" t="s">
        <v>181</v>
      </c>
      <c r="C211" s="1" t="s">
        <v>1173</v>
      </c>
      <c r="D211" s="1" t="s">
        <v>207</v>
      </c>
      <c r="E211" s="1" t="s">
        <v>18</v>
      </c>
      <c r="F211" s="1" t="s">
        <v>16</v>
      </c>
      <c r="G211">
        <v>4</v>
      </c>
      <c r="H211" s="1" t="s">
        <v>398</v>
      </c>
      <c r="I211" s="1" t="s">
        <v>251</v>
      </c>
      <c r="J211">
        <v>10</v>
      </c>
      <c r="K211">
        <v>2</v>
      </c>
      <c r="L211">
        <v>235.5</v>
      </c>
      <c r="M211">
        <v>116.8</v>
      </c>
      <c r="N211">
        <v>6.2</v>
      </c>
      <c r="O211">
        <v>17.899999999999999</v>
      </c>
      <c r="P211">
        <v>26.6</v>
      </c>
      <c r="Q211">
        <v>0</v>
      </c>
      <c r="R211">
        <v>0</v>
      </c>
    </row>
    <row r="212" spans="1:18" x14ac:dyDescent="0.3">
      <c r="A212" s="1" t="s">
        <v>1174</v>
      </c>
      <c r="B212" s="1" t="s">
        <v>140</v>
      </c>
      <c r="C212" s="1" t="s">
        <v>1175</v>
      </c>
      <c r="D212" s="1" t="s">
        <v>175</v>
      </c>
      <c r="E212" s="1" t="s">
        <v>21</v>
      </c>
      <c r="F212" s="1" t="s">
        <v>13</v>
      </c>
      <c r="G212">
        <v>272</v>
      </c>
      <c r="H212" s="1" t="s">
        <v>383</v>
      </c>
      <c r="I212" s="1" t="s">
        <v>257</v>
      </c>
      <c r="J212">
        <v>22</v>
      </c>
      <c r="K212">
        <v>6</v>
      </c>
      <c r="L212">
        <v>213</v>
      </c>
      <c r="M212">
        <v>103.5</v>
      </c>
      <c r="N212">
        <v>13.9</v>
      </c>
      <c r="O212">
        <v>23.2</v>
      </c>
      <c r="P212">
        <v>38.299999999999997</v>
      </c>
      <c r="Q212">
        <v>0</v>
      </c>
      <c r="R212">
        <v>0</v>
      </c>
    </row>
    <row r="213" spans="1:18" x14ac:dyDescent="0.3">
      <c r="A213" s="1" t="s">
        <v>296</v>
      </c>
      <c r="B213" s="1" t="s">
        <v>182</v>
      </c>
      <c r="C213" s="1" t="s">
        <v>297</v>
      </c>
      <c r="D213" s="1" t="s">
        <v>173</v>
      </c>
      <c r="E213" s="1" t="s">
        <v>21</v>
      </c>
      <c r="F213" s="1"/>
      <c r="G213">
        <v>10</v>
      </c>
      <c r="H213" s="1" t="s">
        <v>257</v>
      </c>
      <c r="I213" s="1" t="s">
        <v>383</v>
      </c>
      <c r="J213">
        <v>23</v>
      </c>
      <c r="K213">
        <v>-6</v>
      </c>
      <c r="L213">
        <v>213</v>
      </c>
      <c r="M213">
        <v>109.5</v>
      </c>
      <c r="N213">
        <v>2</v>
      </c>
      <c r="O213">
        <v>10.1</v>
      </c>
      <c r="P213">
        <v>25.6</v>
      </c>
      <c r="Q213">
        <v>0</v>
      </c>
      <c r="R213">
        <v>0</v>
      </c>
    </row>
    <row r="214" spans="1:18" x14ac:dyDescent="0.3">
      <c r="A214" s="1" t="s">
        <v>1176</v>
      </c>
      <c r="B214" s="1" t="s">
        <v>1177</v>
      </c>
      <c r="C214" s="1" t="s">
        <v>1178</v>
      </c>
      <c r="D214" s="1" t="s">
        <v>175</v>
      </c>
      <c r="E214" s="1" t="s">
        <v>14</v>
      </c>
      <c r="F214" s="1"/>
      <c r="G214">
        <v>14</v>
      </c>
      <c r="H214" s="1" t="s">
        <v>410</v>
      </c>
      <c r="I214" s="1" t="s">
        <v>424</v>
      </c>
      <c r="J214">
        <v>24</v>
      </c>
      <c r="K214">
        <v>3</v>
      </c>
      <c r="L214">
        <v>223</v>
      </c>
      <c r="M214">
        <v>110</v>
      </c>
      <c r="N214">
        <v>6.4</v>
      </c>
      <c r="O214">
        <v>11.6</v>
      </c>
      <c r="P214">
        <v>21.1</v>
      </c>
      <c r="Q214">
        <v>0</v>
      </c>
      <c r="R214">
        <v>0</v>
      </c>
    </row>
    <row r="215" spans="1:18" x14ac:dyDescent="0.3">
      <c r="A215" s="1" t="s">
        <v>1179</v>
      </c>
      <c r="B215" s="1" t="s">
        <v>1180</v>
      </c>
      <c r="C215" s="1" t="s">
        <v>1181</v>
      </c>
      <c r="D215" s="1" t="s">
        <v>170</v>
      </c>
      <c r="E215" s="1" t="s">
        <v>13</v>
      </c>
      <c r="F215" s="1" t="s">
        <v>21</v>
      </c>
      <c r="G215">
        <v>93</v>
      </c>
      <c r="H215" s="1" t="s">
        <v>389</v>
      </c>
      <c r="I215" s="1" t="s">
        <v>388</v>
      </c>
      <c r="J215">
        <v>18</v>
      </c>
      <c r="K215">
        <v>-4</v>
      </c>
      <c r="L215">
        <v>231</v>
      </c>
      <c r="M215">
        <v>117.5</v>
      </c>
      <c r="N215">
        <v>3.7</v>
      </c>
      <c r="O215">
        <v>16.2</v>
      </c>
      <c r="P215">
        <v>23.7</v>
      </c>
      <c r="Q215">
        <v>0</v>
      </c>
      <c r="R215">
        <v>0</v>
      </c>
    </row>
    <row r="216" spans="1:18" x14ac:dyDescent="0.3">
      <c r="A216" s="1" t="s">
        <v>1182</v>
      </c>
      <c r="B216" s="1" t="s">
        <v>994</v>
      </c>
      <c r="C216" s="1" t="s">
        <v>1183</v>
      </c>
      <c r="D216" s="1" t="s">
        <v>166</v>
      </c>
      <c r="E216" s="1" t="s">
        <v>13</v>
      </c>
      <c r="F216" s="1" t="s">
        <v>14</v>
      </c>
      <c r="G216">
        <v>58</v>
      </c>
      <c r="H216" s="1" t="s">
        <v>398</v>
      </c>
      <c r="I216" s="1" t="s">
        <v>251</v>
      </c>
      <c r="J216">
        <v>28</v>
      </c>
      <c r="K216">
        <v>2</v>
      </c>
      <c r="L216">
        <v>235.5</v>
      </c>
      <c r="M216">
        <v>116.8</v>
      </c>
      <c r="N216">
        <v>8.1</v>
      </c>
      <c r="O216">
        <v>18.399999999999999</v>
      </c>
      <c r="P216">
        <v>32.4</v>
      </c>
      <c r="Q216">
        <v>0</v>
      </c>
      <c r="R216">
        <v>0</v>
      </c>
    </row>
    <row r="217" spans="1:18" x14ac:dyDescent="0.3">
      <c r="A217" s="1" t="s">
        <v>1184</v>
      </c>
      <c r="B217" s="1" t="s">
        <v>1185</v>
      </c>
      <c r="C217" s="1" t="s">
        <v>1186</v>
      </c>
      <c r="D217" s="1" t="s">
        <v>145</v>
      </c>
      <c r="E217" s="1" t="s">
        <v>16</v>
      </c>
      <c r="F217" s="1" t="s">
        <v>14</v>
      </c>
      <c r="G217">
        <v>3</v>
      </c>
      <c r="H217" s="1" t="s">
        <v>427</v>
      </c>
      <c r="I217" s="1" t="s">
        <v>428</v>
      </c>
      <c r="J217">
        <v>6</v>
      </c>
      <c r="K217">
        <v>-5.5</v>
      </c>
      <c r="L217">
        <v>222.5</v>
      </c>
      <c r="M217">
        <v>114</v>
      </c>
      <c r="N217">
        <v>14.2</v>
      </c>
      <c r="O217">
        <v>22.3</v>
      </c>
      <c r="P217">
        <v>36.9</v>
      </c>
      <c r="Q217">
        <v>0</v>
      </c>
      <c r="R217">
        <v>0</v>
      </c>
    </row>
    <row r="218" spans="1:18" x14ac:dyDescent="0.3">
      <c r="A218" s="1" t="s">
        <v>1187</v>
      </c>
      <c r="B218" s="1" t="s">
        <v>140</v>
      </c>
      <c r="C218" s="1" t="s">
        <v>1188</v>
      </c>
      <c r="D218" s="1" t="s">
        <v>166</v>
      </c>
      <c r="E218" s="1" t="s">
        <v>16</v>
      </c>
      <c r="F218" s="1"/>
      <c r="G218">
        <v>4</v>
      </c>
      <c r="H218" s="1" t="s">
        <v>427</v>
      </c>
      <c r="I218" s="1" t="s">
        <v>428</v>
      </c>
      <c r="J218">
        <v>6</v>
      </c>
      <c r="K218">
        <v>-5.5</v>
      </c>
      <c r="L218">
        <v>222.5</v>
      </c>
      <c r="M218">
        <v>114</v>
      </c>
      <c r="N218">
        <v>0</v>
      </c>
      <c r="O218">
        <v>3</v>
      </c>
      <c r="P218">
        <v>12.4</v>
      </c>
      <c r="Q218">
        <v>0</v>
      </c>
      <c r="R218">
        <v>0</v>
      </c>
    </row>
    <row r="219" spans="1:18" x14ac:dyDescent="0.3">
      <c r="A219" s="1" t="s">
        <v>1189</v>
      </c>
      <c r="B219" s="1" t="s">
        <v>128</v>
      </c>
      <c r="C219" s="1" t="s">
        <v>1145</v>
      </c>
      <c r="D219" s="1" t="s">
        <v>177</v>
      </c>
      <c r="E219" s="1" t="s">
        <v>13</v>
      </c>
      <c r="F219" s="1"/>
      <c r="G219">
        <v>4</v>
      </c>
      <c r="H219" s="1" t="s">
        <v>427</v>
      </c>
      <c r="I219" s="1" t="s">
        <v>428</v>
      </c>
      <c r="J219">
        <v>17</v>
      </c>
      <c r="K219">
        <v>-5.5</v>
      </c>
      <c r="L219">
        <v>222.5</v>
      </c>
      <c r="M219">
        <v>114</v>
      </c>
      <c r="N219">
        <v>3</v>
      </c>
      <c r="O219">
        <v>9</v>
      </c>
      <c r="P219">
        <v>21.6</v>
      </c>
      <c r="Q219">
        <v>0</v>
      </c>
      <c r="R219">
        <v>0</v>
      </c>
    </row>
    <row r="220" spans="1:18" x14ac:dyDescent="0.3">
      <c r="A220" s="1" t="s">
        <v>1190</v>
      </c>
      <c r="B220" s="1" t="s">
        <v>1191</v>
      </c>
      <c r="C220" s="1" t="s">
        <v>1192</v>
      </c>
      <c r="D220" s="1" t="s">
        <v>166</v>
      </c>
      <c r="E220" s="1" t="s">
        <v>16</v>
      </c>
      <c r="F220" s="1" t="s">
        <v>14</v>
      </c>
      <c r="G220">
        <v>11</v>
      </c>
      <c r="H220" s="1" t="s">
        <v>408</v>
      </c>
      <c r="I220" s="1" t="s">
        <v>401</v>
      </c>
      <c r="J220">
        <v>18</v>
      </c>
      <c r="K220">
        <v>-7</v>
      </c>
      <c r="L220">
        <v>233.5</v>
      </c>
      <c r="M220">
        <v>120.3</v>
      </c>
      <c r="N220">
        <v>12.7</v>
      </c>
      <c r="O220">
        <v>18.7</v>
      </c>
      <c r="P220">
        <v>22.3</v>
      </c>
      <c r="Q220">
        <v>0</v>
      </c>
      <c r="R220">
        <v>0</v>
      </c>
    </row>
    <row r="221" spans="1:18" x14ac:dyDescent="0.3">
      <c r="A221" s="1" t="s">
        <v>1193</v>
      </c>
      <c r="B221" s="1" t="s">
        <v>1194</v>
      </c>
      <c r="C221" s="1" t="s">
        <v>1195</v>
      </c>
      <c r="D221" s="1" t="s">
        <v>163</v>
      </c>
      <c r="E221" s="1" t="s">
        <v>21</v>
      </c>
      <c r="F221" s="1" t="s">
        <v>13</v>
      </c>
      <c r="G221">
        <v>41</v>
      </c>
      <c r="H221" s="1" t="s">
        <v>392</v>
      </c>
      <c r="I221" s="1" t="s">
        <v>385</v>
      </c>
      <c r="J221">
        <v>1</v>
      </c>
      <c r="K221">
        <v>2</v>
      </c>
      <c r="L221">
        <v>211</v>
      </c>
      <c r="M221">
        <v>104.5</v>
      </c>
      <c r="N221">
        <v>0</v>
      </c>
      <c r="O221">
        <v>18.600000000000001</v>
      </c>
      <c r="P221">
        <v>28</v>
      </c>
      <c r="Q221">
        <v>0</v>
      </c>
      <c r="R221">
        <v>0</v>
      </c>
    </row>
    <row r="222" spans="1:18" x14ac:dyDescent="0.3">
      <c r="A222" s="1" t="s">
        <v>1196</v>
      </c>
      <c r="B222" s="1" t="s">
        <v>1194</v>
      </c>
      <c r="C222" s="1" t="s">
        <v>1197</v>
      </c>
      <c r="D222" s="1" t="s">
        <v>171</v>
      </c>
      <c r="E222" s="1" t="s">
        <v>14</v>
      </c>
      <c r="F222" s="1" t="s">
        <v>16</v>
      </c>
      <c r="G222">
        <v>378</v>
      </c>
      <c r="H222" s="1" t="s">
        <v>392</v>
      </c>
      <c r="I222" s="1" t="s">
        <v>385</v>
      </c>
      <c r="J222">
        <v>26</v>
      </c>
      <c r="K222">
        <v>2</v>
      </c>
      <c r="L222">
        <v>211</v>
      </c>
      <c r="M222">
        <v>104.5</v>
      </c>
      <c r="N222">
        <v>7.7</v>
      </c>
      <c r="O222">
        <v>23.5</v>
      </c>
      <c r="P222">
        <v>34.700000000000003</v>
      </c>
      <c r="Q222">
        <v>0</v>
      </c>
      <c r="R222">
        <v>0</v>
      </c>
    </row>
    <row r="223" spans="1:18" x14ac:dyDescent="0.3">
      <c r="A223" s="1" t="s">
        <v>1198</v>
      </c>
      <c r="B223" s="1" t="s">
        <v>156</v>
      </c>
      <c r="C223" s="1" t="s">
        <v>1199</v>
      </c>
      <c r="D223" s="1" t="s">
        <v>174</v>
      </c>
      <c r="E223" s="1" t="s">
        <v>21</v>
      </c>
      <c r="F223" s="1" t="s">
        <v>13</v>
      </c>
      <c r="G223">
        <v>8</v>
      </c>
      <c r="H223" s="1" t="s">
        <v>381</v>
      </c>
      <c r="I223" s="1" t="s">
        <v>382</v>
      </c>
      <c r="J223">
        <v>14</v>
      </c>
      <c r="K223">
        <v>-5.5</v>
      </c>
      <c r="L223">
        <v>225</v>
      </c>
      <c r="M223">
        <v>115.3</v>
      </c>
      <c r="N223">
        <v>4.7</v>
      </c>
      <c r="O223">
        <v>16.8</v>
      </c>
      <c r="P223">
        <v>24.3</v>
      </c>
      <c r="Q223">
        <v>0</v>
      </c>
      <c r="R223">
        <v>0</v>
      </c>
    </row>
    <row r="224" spans="1:18" x14ac:dyDescent="0.3">
      <c r="A224" s="1" t="s">
        <v>1200</v>
      </c>
      <c r="B224" s="1" t="s">
        <v>142</v>
      </c>
      <c r="C224" s="1" t="s">
        <v>1201</v>
      </c>
      <c r="D224" s="1" t="s">
        <v>157</v>
      </c>
      <c r="E224" s="1" t="s">
        <v>18</v>
      </c>
      <c r="F224" s="1" t="s">
        <v>16</v>
      </c>
      <c r="G224">
        <v>11</v>
      </c>
      <c r="H224" s="1" t="s">
        <v>388</v>
      </c>
      <c r="I224" s="1" t="s">
        <v>389</v>
      </c>
      <c r="J224">
        <v>2</v>
      </c>
      <c r="K224">
        <v>4</v>
      </c>
      <c r="L224">
        <v>231</v>
      </c>
      <c r="M224">
        <v>113.5</v>
      </c>
      <c r="N224">
        <v>11.3</v>
      </c>
      <c r="O224">
        <v>18.899999999999999</v>
      </c>
      <c r="P224">
        <v>23.7</v>
      </c>
      <c r="Q224">
        <v>0</v>
      </c>
      <c r="R224">
        <v>0</v>
      </c>
    </row>
    <row r="225" spans="1:18" x14ac:dyDescent="0.3">
      <c r="A225" s="1" t="s">
        <v>1202</v>
      </c>
      <c r="B225" s="1" t="s">
        <v>1049</v>
      </c>
      <c r="C225" s="1" t="s">
        <v>1203</v>
      </c>
      <c r="D225" s="1" t="s">
        <v>153</v>
      </c>
      <c r="E225" s="1" t="s">
        <v>16</v>
      </c>
      <c r="F225" s="1" t="s">
        <v>18</v>
      </c>
      <c r="G225">
        <v>6</v>
      </c>
      <c r="H225" s="1" t="s">
        <v>383</v>
      </c>
      <c r="I225" s="1" t="s">
        <v>257</v>
      </c>
      <c r="J225">
        <v>3</v>
      </c>
      <c r="K225">
        <v>6</v>
      </c>
      <c r="L225">
        <v>213</v>
      </c>
      <c r="M225">
        <v>103.5</v>
      </c>
      <c r="N225">
        <v>25.5</v>
      </c>
      <c r="O225">
        <v>38.200000000000003</v>
      </c>
      <c r="P225">
        <v>48.7</v>
      </c>
      <c r="Q225">
        <v>0</v>
      </c>
      <c r="R225">
        <v>0</v>
      </c>
    </row>
    <row r="226" spans="1:18" x14ac:dyDescent="0.3">
      <c r="A226" s="1" t="s">
        <v>1204</v>
      </c>
      <c r="B226" s="1" t="s">
        <v>1205</v>
      </c>
      <c r="C226" s="1" t="s">
        <v>1206</v>
      </c>
      <c r="D226" s="1" t="s">
        <v>164</v>
      </c>
      <c r="E226" s="1" t="s">
        <v>18</v>
      </c>
      <c r="F226" s="1"/>
      <c r="G226">
        <v>2</v>
      </c>
      <c r="H226" s="1" t="s">
        <v>383</v>
      </c>
      <c r="I226" s="1" t="s">
        <v>257</v>
      </c>
      <c r="J226">
        <v>16</v>
      </c>
      <c r="K226">
        <v>6</v>
      </c>
      <c r="L226">
        <v>213</v>
      </c>
      <c r="M226">
        <v>103.5</v>
      </c>
      <c r="N226">
        <v>11.4</v>
      </c>
      <c r="O226">
        <v>24.2</v>
      </c>
      <c r="P226">
        <v>40.1</v>
      </c>
      <c r="Q226">
        <v>0</v>
      </c>
      <c r="R226">
        <v>0</v>
      </c>
    </row>
    <row r="227" spans="1:18" x14ac:dyDescent="0.3">
      <c r="A227" s="1" t="s">
        <v>1207</v>
      </c>
      <c r="B227" s="1" t="s">
        <v>128</v>
      </c>
      <c r="C227" s="1" t="s">
        <v>298</v>
      </c>
      <c r="D227" s="1" t="s">
        <v>173</v>
      </c>
      <c r="E227" s="1" t="s">
        <v>14</v>
      </c>
      <c r="F227" s="1"/>
      <c r="G227">
        <v>2</v>
      </c>
      <c r="H227" s="1" t="s">
        <v>424</v>
      </c>
      <c r="I227" s="1" t="s">
        <v>410</v>
      </c>
      <c r="J227">
        <v>22</v>
      </c>
      <c r="K227">
        <v>-3</v>
      </c>
      <c r="L227">
        <v>223</v>
      </c>
      <c r="M227">
        <v>113</v>
      </c>
      <c r="N227">
        <v>0</v>
      </c>
      <c r="O227">
        <v>3.4</v>
      </c>
      <c r="P227">
        <v>10.4</v>
      </c>
      <c r="Q227">
        <v>0</v>
      </c>
      <c r="R227">
        <v>0</v>
      </c>
    </row>
    <row r="228" spans="1:18" x14ac:dyDescent="0.3">
      <c r="A228" s="1" t="s">
        <v>1208</v>
      </c>
      <c r="B228" s="1" t="s">
        <v>140</v>
      </c>
      <c r="C228" s="1" t="s">
        <v>1209</v>
      </c>
      <c r="D228" s="1" t="s">
        <v>159</v>
      </c>
      <c r="E228" s="1" t="s">
        <v>13</v>
      </c>
      <c r="F228" s="1" t="s">
        <v>21</v>
      </c>
      <c r="G228">
        <v>1</v>
      </c>
      <c r="H228" s="1" t="s">
        <v>385</v>
      </c>
      <c r="I228" s="1" t="s">
        <v>392</v>
      </c>
      <c r="J228">
        <v>8</v>
      </c>
      <c r="K228">
        <v>-2</v>
      </c>
      <c r="L228">
        <v>211</v>
      </c>
      <c r="M228">
        <v>106.5</v>
      </c>
      <c r="N228">
        <v>14.1</v>
      </c>
      <c r="O228">
        <v>29.3</v>
      </c>
      <c r="P228">
        <v>42.9</v>
      </c>
      <c r="Q228">
        <v>0</v>
      </c>
      <c r="R228">
        <v>0</v>
      </c>
    </row>
    <row r="229" spans="1:18" x14ac:dyDescent="0.3">
      <c r="A229" s="1" t="s">
        <v>1210</v>
      </c>
      <c r="B229" s="1" t="s">
        <v>1211</v>
      </c>
      <c r="C229" s="1" t="s">
        <v>1212</v>
      </c>
      <c r="D229" s="1" t="s">
        <v>173</v>
      </c>
      <c r="E229" s="1" t="s">
        <v>21</v>
      </c>
      <c r="F229" s="1" t="s">
        <v>13</v>
      </c>
      <c r="G229">
        <v>90</v>
      </c>
      <c r="H229" s="1" t="s">
        <v>396</v>
      </c>
      <c r="I229" s="1" t="s">
        <v>397</v>
      </c>
      <c r="J229">
        <v>3</v>
      </c>
      <c r="K229">
        <v>2.5</v>
      </c>
      <c r="L229">
        <v>204.5</v>
      </c>
      <c r="M229">
        <v>101</v>
      </c>
      <c r="N229">
        <v>2</v>
      </c>
      <c r="O229">
        <v>10.5</v>
      </c>
      <c r="P229">
        <v>20.8</v>
      </c>
      <c r="Q229">
        <v>0</v>
      </c>
      <c r="R229">
        <v>0</v>
      </c>
    </row>
    <row r="230" spans="1:18" x14ac:dyDescent="0.3">
      <c r="A230" s="1" t="s">
        <v>1213</v>
      </c>
      <c r="B230" s="1" t="s">
        <v>149</v>
      </c>
      <c r="C230" s="1" t="s">
        <v>1214</v>
      </c>
      <c r="D230" s="1" t="s">
        <v>173</v>
      </c>
      <c r="E230" s="1" t="s">
        <v>13</v>
      </c>
      <c r="F230" s="1"/>
      <c r="G230">
        <v>65</v>
      </c>
      <c r="H230" s="1" t="s">
        <v>428</v>
      </c>
      <c r="I230" s="1" t="s">
        <v>427</v>
      </c>
      <c r="J230">
        <v>15</v>
      </c>
      <c r="K230">
        <v>5.5</v>
      </c>
      <c r="L230">
        <v>222.5</v>
      </c>
      <c r="M230">
        <v>108.5</v>
      </c>
      <c r="N230">
        <v>5.2</v>
      </c>
      <c r="O230">
        <v>18.899999999999999</v>
      </c>
      <c r="P230">
        <v>32.4</v>
      </c>
      <c r="Q230">
        <v>0</v>
      </c>
      <c r="R230">
        <v>0</v>
      </c>
    </row>
    <row r="231" spans="1:18" x14ac:dyDescent="0.3">
      <c r="A231" s="1" t="s">
        <v>1215</v>
      </c>
      <c r="B231" s="1" t="s">
        <v>1049</v>
      </c>
      <c r="C231" s="1" t="s">
        <v>1216</v>
      </c>
      <c r="D231" s="1" t="s">
        <v>173</v>
      </c>
      <c r="E231" s="1" t="s">
        <v>18</v>
      </c>
      <c r="F231" s="1" t="s">
        <v>16</v>
      </c>
      <c r="G231">
        <v>45</v>
      </c>
      <c r="H231" s="1" t="s">
        <v>397</v>
      </c>
      <c r="I231" s="1" t="s">
        <v>396</v>
      </c>
      <c r="J231">
        <v>23</v>
      </c>
      <c r="K231">
        <v>-2.5</v>
      </c>
      <c r="L231">
        <v>204.5</v>
      </c>
      <c r="M231">
        <v>103.5</v>
      </c>
      <c r="N231">
        <v>0.2</v>
      </c>
      <c r="O231">
        <v>8.6</v>
      </c>
      <c r="P231">
        <v>13.1</v>
      </c>
      <c r="Q231">
        <v>0</v>
      </c>
      <c r="R231">
        <v>0</v>
      </c>
    </row>
    <row r="232" spans="1:18" x14ac:dyDescent="0.3">
      <c r="A232" s="1" t="s">
        <v>1217</v>
      </c>
      <c r="B232" s="1" t="s">
        <v>1218</v>
      </c>
      <c r="C232" s="1" t="s">
        <v>1219</v>
      </c>
      <c r="D232" s="1" t="s">
        <v>226</v>
      </c>
      <c r="E232" s="1" t="s">
        <v>18</v>
      </c>
      <c r="F232" s="1" t="s">
        <v>16</v>
      </c>
      <c r="G232">
        <v>43</v>
      </c>
      <c r="H232" s="1" t="s">
        <v>410</v>
      </c>
      <c r="I232" s="1" t="s">
        <v>424</v>
      </c>
      <c r="J232">
        <v>7</v>
      </c>
      <c r="K232">
        <v>3</v>
      </c>
      <c r="L232">
        <v>223</v>
      </c>
      <c r="M232">
        <v>110</v>
      </c>
      <c r="N232">
        <v>23.7</v>
      </c>
      <c r="O232">
        <v>31.5</v>
      </c>
      <c r="P232">
        <v>43.6</v>
      </c>
      <c r="Q232">
        <v>0</v>
      </c>
      <c r="R232">
        <v>0</v>
      </c>
    </row>
    <row r="233" spans="1:18" x14ac:dyDescent="0.3">
      <c r="A233" s="1" t="s">
        <v>1220</v>
      </c>
      <c r="B233" s="1" t="s">
        <v>128</v>
      </c>
      <c r="C233" s="1" t="s">
        <v>1221</v>
      </c>
      <c r="D233" s="1" t="s">
        <v>157</v>
      </c>
      <c r="E233" s="1" t="s">
        <v>21</v>
      </c>
      <c r="F233" s="1" t="s">
        <v>13</v>
      </c>
      <c r="G233">
        <v>43</v>
      </c>
      <c r="H233" s="1" t="s">
        <v>383</v>
      </c>
      <c r="I233" s="1" t="s">
        <v>257</v>
      </c>
      <c r="J233">
        <v>22</v>
      </c>
      <c r="K233">
        <v>6</v>
      </c>
      <c r="L233">
        <v>213</v>
      </c>
      <c r="M233">
        <v>103.5</v>
      </c>
      <c r="N233">
        <v>9.8000000000000007</v>
      </c>
      <c r="O233">
        <v>25.4</v>
      </c>
      <c r="P233">
        <v>31.8</v>
      </c>
      <c r="Q233">
        <v>0</v>
      </c>
      <c r="R233">
        <v>0</v>
      </c>
    </row>
    <row r="234" spans="1:18" x14ac:dyDescent="0.3">
      <c r="A234" s="1" t="s">
        <v>293</v>
      </c>
      <c r="B234" s="1" t="s">
        <v>294</v>
      </c>
      <c r="C234" s="1" t="s">
        <v>295</v>
      </c>
      <c r="D234" s="1" t="s">
        <v>203</v>
      </c>
      <c r="E234" s="1" t="s">
        <v>21</v>
      </c>
      <c r="F234" s="1" t="s">
        <v>13</v>
      </c>
      <c r="G234">
        <v>22</v>
      </c>
      <c r="H234" s="1" t="s">
        <v>251</v>
      </c>
      <c r="I234" s="1" t="s">
        <v>398</v>
      </c>
      <c r="J234">
        <v>7</v>
      </c>
      <c r="K234">
        <v>-2</v>
      </c>
      <c r="L234">
        <v>235.5</v>
      </c>
      <c r="M234">
        <v>118.8</v>
      </c>
      <c r="N234">
        <v>4.2</v>
      </c>
      <c r="O234">
        <v>18.2</v>
      </c>
      <c r="P234">
        <v>30.8</v>
      </c>
      <c r="Q234">
        <v>0</v>
      </c>
      <c r="R234">
        <v>0</v>
      </c>
    </row>
    <row r="235" spans="1:18" x14ac:dyDescent="0.3">
      <c r="A235" s="1" t="s">
        <v>1222</v>
      </c>
      <c r="B235" s="1" t="s">
        <v>180</v>
      </c>
      <c r="C235" s="1" t="s">
        <v>1223</v>
      </c>
      <c r="D235" s="1" t="s">
        <v>168</v>
      </c>
      <c r="E235" s="1" t="s">
        <v>21</v>
      </c>
      <c r="F235" s="1" t="s">
        <v>13</v>
      </c>
      <c r="G235">
        <v>26</v>
      </c>
      <c r="H235" s="1" t="s">
        <v>396</v>
      </c>
      <c r="I235" s="1" t="s">
        <v>397</v>
      </c>
      <c r="J235">
        <v>3</v>
      </c>
      <c r="K235">
        <v>2.5</v>
      </c>
      <c r="L235">
        <v>204.5</v>
      </c>
      <c r="M235">
        <v>101</v>
      </c>
      <c r="N235">
        <v>2.7</v>
      </c>
      <c r="O235">
        <v>23.2</v>
      </c>
      <c r="P235">
        <v>37.9</v>
      </c>
      <c r="Q235">
        <v>0</v>
      </c>
      <c r="R235">
        <v>0</v>
      </c>
    </row>
    <row r="236" spans="1:18" x14ac:dyDescent="0.3">
      <c r="A236" s="1" t="s">
        <v>1224</v>
      </c>
      <c r="B236" s="1" t="s">
        <v>253</v>
      </c>
      <c r="C236" s="1" t="s">
        <v>1225</v>
      </c>
      <c r="D236" s="1" t="s">
        <v>173</v>
      </c>
      <c r="E236" s="1" t="s">
        <v>16</v>
      </c>
      <c r="F236" s="1"/>
      <c r="G236">
        <v>514</v>
      </c>
      <c r="H236" s="1" t="s">
        <v>408</v>
      </c>
      <c r="I236" s="1" t="s">
        <v>401</v>
      </c>
      <c r="J236">
        <v>30</v>
      </c>
      <c r="K236">
        <v>-7</v>
      </c>
      <c r="L236">
        <v>233.5</v>
      </c>
      <c r="M236">
        <v>120.3</v>
      </c>
      <c r="N236">
        <v>4.2</v>
      </c>
      <c r="O236">
        <v>13.5</v>
      </c>
      <c r="P236">
        <v>18.600000000000001</v>
      </c>
      <c r="Q236">
        <v>0</v>
      </c>
      <c r="R236">
        <v>0</v>
      </c>
    </row>
    <row r="237" spans="1:18" x14ac:dyDescent="0.3">
      <c r="A237" s="1" t="s">
        <v>1226</v>
      </c>
      <c r="B237" s="1" t="s">
        <v>1185</v>
      </c>
      <c r="C237" s="1" t="s">
        <v>1227</v>
      </c>
      <c r="D237" s="1" t="s">
        <v>259</v>
      </c>
      <c r="E237" s="1" t="s">
        <v>18</v>
      </c>
      <c r="F237" s="1"/>
      <c r="G237">
        <v>8</v>
      </c>
      <c r="H237" s="1" t="s">
        <v>427</v>
      </c>
      <c r="I237" s="1" t="s">
        <v>428</v>
      </c>
      <c r="J237">
        <v>20</v>
      </c>
      <c r="K237">
        <v>-5.5</v>
      </c>
      <c r="L237">
        <v>222.5</v>
      </c>
      <c r="M237">
        <v>114</v>
      </c>
      <c r="N237">
        <v>40.4</v>
      </c>
      <c r="O237">
        <v>43.8</v>
      </c>
      <c r="P237">
        <v>46.6</v>
      </c>
      <c r="Q237">
        <v>0</v>
      </c>
      <c r="R237">
        <v>0</v>
      </c>
    </row>
    <row r="238" spans="1:18" x14ac:dyDescent="0.3">
      <c r="A238" s="1" t="s">
        <v>1228</v>
      </c>
      <c r="B238" s="1" t="s">
        <v>128</v>
      </c>
      <c r="C238" s="1" t="s">
        <v>1229</v>
      </c>
      <c r="D238" s="1" t="s">
        <v>207</v>
      </c>
      <c r="E238" s="1" t="s">
        <v>14</v>
      </c>
      <c r="F238" s="1" t="s">
        <v>16</v>
      </c>
      <c r="G238">
        <v>527</v>
      </c>
      <c r="H238" s="1" t="s">
        <v>383</v>
      </c>
      <c r="I238" s="1" t="s">
        <v>257</v>
      </c>
      <c r="J238">
        <v>3</v>
      </c>
      <c r="K238">
        <v>6</v>
      </c>
      <c r="L238">
        <v>213</v>
      </c>
      <c r="M238">
        <v>103.5</v>
      </c>
      <c r="N238">
        <v>6.2</v>
      </c>
      <c r="O238">
        <v>29.3</v>
      </c>
      <c r="P238">
        <v>54.8</v>
      </c>
      <c r="Q238">
        <v>0</v>
      </c>
      <c r="R238">
        <v>0</v>
      </c>
    </row>
    <row r="239" spans="1:18" x14ac:dyDescent="0.3">
      <c r="A239" s="1" t="s">
        <v>1230</v>
      </c>
      <c r="B239" s="1" t="s">
        <v>129</v>
      </c>
      <c r="C239" s="1" t="s">
        <v>1154</v>
      </c>
      <c r="D239" s="1" t="s">
        <v>177</v>
      </c>
      <c r="E239" s="1" t="s">
        <v>18</v>
      </c>
      <c r="F239" s="1"/>
      <c r="G239">
        <v>4</v>
      </c>
      <c r="H239" s="1" t="s">
        <v>388</v>
      </c>
      <c r="I239" s="1" t="s">
        <v>389</v>
      </c>
      <c r="J239">
        <v>2</v>
      </c>
      <c r="K239">
        <v>4</v>
      </c>
      <c r="L239">
        <v>231</v>
      </c>
      <c r="M239">
        <v>113.5</v>
      </c>
      <c r="N239">
        <v>3.4</v>
      </c>
      <c r="O239">
        <v>16.8</v>
      </c>
      <c r="P239">
        <v>32.5</v>
      </c>
      <c r="Q239">
        <v>0</v>
      </c>
      <c r="R239">
        <v>0</v>
      </c>
    </row>
    <row r="240" spans="1:18" x14ac:dyDescent="0.3">
      <c r="A240" s="1" t="s">
        <v>1231</v>
      </c>
      <c r="B240" s="1" t="s">
        <v>140</v>
      </c>
      <c r="C240" s="1" t="s">
        <v>1232</v>
      </c>
      <c r="D240" s="1" t="s">
        <v>173</v>
      </c>
      <c r="E240" s="1" t="s">
        <v>21</v>
      </c>
      <c r="F240" s="1" t="s">
        <v>13</v>
      </c>
      <c r="G240">
        <v>370</v>
      </c>
      <c r="H240" s="1" t="s">
        <v>383</v>
      </c>
      <c r="I240" s="1" t="s">
        <v>257</v>
      </c>
      <c r="J240">
        <v>22</v>
      </c>
      <c r="K240">
        <v>6</v>
      </c>
      <c r="L240">
        <v>213</v>
      </c>
      <c r="M240">
        <v>103.5</v>
      </c>
      <c r="N240">
        <v>6</v>
      </c>
      <c r="O240">
        <v>22.2</v>
      </c>
      <c r="P240">
        <v>33.799999999999997</v>
      </c>
      <c r="Q240">
        <v>0</v>
      </c>
      <c r="R240">
        <v>0</v>
      </c>
    </row>
    <row r="241" spans="1:18" x14ac:dyDescent="0.3">
      <c r="A241" s="1" t="s">
        <v>1233</v>
      </c>
      <c r="B241" s="1" t="s">
        <v>162</v>
      </c>
      <c r="C241" s="1" t="s">
        <v>1234</v>
      </c>
      <c r="D241" s="1" t="s">
        <v>157</v>
      </c>
      <c r="E241" s="1" t="s">
        <v>14</v>
      </c>
      <c r="F241" s="1" t="s">
        <v>13</v>
      </c>
      <c r="G241">
        <v>3</v>
      </c>
      <c r="H241" s="1" t="s">
        <v>382</v>
      </c>
      <c r="I241" s="1" t="s">
        <v>381</v>
      </c>
      <c r="J241">
        <v>16</v>
      </c>
      <c r="K241">
        <v>5.5</v>
      </c>
      <c r="L241">
        <v>225</v>
      </c>
      <c r="M241">
        <v>109.8</v>
      </c>
      <c r="N241">
        <v>11.4</v>
      </c>
      <c r="O241">
        <v>24.3</v>
      </c>
      <c r="P241">
        <v>42.2</v>
      </c>
      <c r="Q241">
        <v>0</v>
      </c>
      <c r="R241">
        <v>0</v>
      </c>
    </row>
    <row r="242" spans="1:18" x14ac:dyDescent="0.3">
      <c r="A242" s="1" t="s">
        <v>1235</v>
      </c>
      <c r="B242" s="1" t="s">
        <v>140</v>
      </c>
      <c r="C242" s="1" t="s">
        <v>1236</v>
      </c>
      <c r="D242" s="1" t="s">
        <v>173</v>
      </c>
      <c r="E242" s="1" t="s">
        <v>13</v>
      </c>
      <c r="F242" s="1"/>
      <c r="G242">
        <v>14</v>
      </c>
      <c r="H242" s="1" t="s">
        <v>410</v>
      </c>
      <c r="I242" s="1" t="s">
        <v>424</v>
      </c>
      <c r="J242">
        <v>1</v>
      </c>
      <c r="K242">
        <v>3</v>
      </c>
      <c r="L242">
        <v>223</v>
      </c>
      <c r="M242">
        <v>110</v>
      </c>
      <c r="N242">
        <v>3.2</v>
      </c>
      <c r="O242">
        <v>10.5</v>
      </c>
      <c r="P242">
        <v>22.5</v>
      </c>
      <c r="Q242">
        <v>0</v>
      </c>
      <c r="R242">
        <v>0</v>
      </c>
    </row>
    <row r="243" spans="1:18" x14ac:dyDescent="0.3">
      <c r="A243" s="1" t="s">
        <v>1237</v>
      </c>
      <c r="B243" s="1" t="s">
        <v>142</v>
      </c>
      <c r="C243" s="1" t="s">
        <v>1238</v>
      </c>
      <c r="D243" s="1" t="s">
        <v>173</v>
      </c>
      <c r="E243" s="1" t="s">
        <v>21</v>
      </c>
      <c r="F243" s="1"/>
      <c r="G243">
        <v>14</v>
      </c>
      <c r="H243" s="1" t="s">
        <v>428</v>
      </c>
      <c r="I243" s="1" t="s">
        <v>427</v>
      </c>
      <c r="J243">
        <v>15</v>
      </c>
      <c r="K243">
        <v>5.5</v>
      </c>
      <c r="L243">
        <v>222.5</v>
      </c>
      <c r="M243">
        <v>108.5</v>
      </c>
      <c r="N243">
        <v>28</v>
      </c>
      <c r="O243">
        <v>42.2</v>
      </c>
      <c r="P243">
        <v>67.099999999999994</v>
      </c>
      <c r="Q243">
        <v>0</v>
      </c>
      <c r="R243">
        <v>0</v>
      </c>
    </row>
    <row r="244" spans="1:18" x14ac:dyDescent="0.3">
      <c r="A244" s="1" t="s">
        <v>301</v>
      </c>
      <c r="B244" s="1" t="s">
        <v>210</v>
      </c>
      <c r="C244" s="1" t="s">
        <v>302</v>
      </c>
      <c r="D244" s="1" t="s">
        <v>173</v>
      </c>
      <c r="E244" s="1" t="s">
        <v>16</v>
      </c>
      <c r="F244" s="1"/>
      <c r="G244">
        <v>10</v>
      </c>
      <c r="H244" s="1" t="s">
        <v>251</v>
      </c>
      <c r="I244" s="1" t="s">
        <v>398</v>
      </c>
      <c r="J244">
        <v>25</v>
      </c>
      <c r="K244">
        <v>-2</v>
      </c>
      <c r="L244">
        <v>235.5</v>
      </c>
      <c r="M244">
        <v>118.8</v>
      </c>
      <c r="N244">
        <v>4.2</v>
      </c>
      <c r="O244">
        <v>10.7</v>
      </c>
      <c r="P244">
        <v>17</v>
      </c>
      <c r="Q244">
        <v>0</v>
      </c>
      <c r="R244">
        <v>0</v>
      </c>
    </row>
    <row r="245" spans="1:18" x14ac:dyDescent="0.3">
      <c r="A245" s="1" t="s">
        <v>300</v>
      </c>
      <c r="B245" s="1" t="s">
        <v>128</v>
      </c>
      <c r="C245" s="1" t="s">
        <v>292</v>
      </c>
      <c r="D245" s="1" t="s">
        <v>178</v>
      </c>
      <c r="E245" s="1" t="s">
        <v>13</v>
      </c>
      <c r="F245" s="1" t="s">
        <v>14</v>
      </c>
      <c r="G245">
        <v>11</v>
      </c>
      <c r="H245" s="1" t="s">
        <v>251</v>
      </c>
      <c r="I245" s="1" t="s">
        <v>398</v>
      </c>
      <c r="J245">
        <v>1</v>
      </c>
      <c r="K245">
        <v>-2</v>
      </c>
      <c r="L245">
        <v>235.5</v>
      </c>
      <c r="M245">
        <v>118.8</v>
      </c>
      <c r="N245">
        <v>12.2</v>
      </c>
      <c r="O245">
        <v>18.600000000000001</v>
      </c>
      <c r="P245">
        <v>29.9</v>
      </c>
      <c r="Q245">
        <v>0</v>
      </c>
      <c r="R245">
        <v>0</v>
      </c>
    </row>
    <row r="246" spans="1:18" x14ac:dyDescent="0.3">
      <c r="A246" s="1" t="s">
        <v>1239</v>
      </c>
      <c r="B246" s="1" t="s">
        <v>176</v>
      </c>
      <c r="C246" s="1" t="s">
        <v>1240</v>
      </c>
      <c r="D246" s="1" t="s">
        <v>173</v>
      </c>
      <c r="E246" s="1" t="s">
        <v>16</v>
      </c>
      <c r="F246" s="1"/>
      <c r="G246">
        <v>93</v>
      </c>
      <c r="H246" s="1" t="s">
        <v>396</v>
      </c>
      <c r="I246" s="1" t="s">
        <v>397</v>
      </c>
      <c r="J246">
        <v>18</v>
      </c>
      <c r="K246">
        <v>2.5</v>
      </c>
      <c r="L246">
        <v>204.5</v>
      </c>
      <c r="M246">
        <v>101</v>
      </c>
      <c r="N246">
        <v>1.5</v>
      </c>
      <c r="O246">
        <v>8.3000000000000007</v>
      </c>
      <c r="P246">
        <v>17.8</v>
      </c>
      <c r="Q246">
        <v>0</v>
      </c>
      <c r="R246">
        <v>0</v>
      </c>
    </row>
    <row r="247" spans="1:18" x14ac:dyDescent="0.3">
      <c r="A247" s="1" t="s">
        <v>1241</v>
      </c>
      <c r="B247" s="1" t="s">
        <v>162</v>
      </c>
      <c r="C247" s="1" t="s">
        <v>1242</v>
      </c>
      <c r="D247" s="1" t="s">
        <v>1243</v>
      </c>
      <c r="E247" s="1" t="s">
        <v>16</v>
      </c>
      <c r="F247" s="1" t="s">
        <v>18</v>
      </c>
      <c r="G247">
        <v>11</v>
      </c>
      <c r="H247" s="1" t="s">
        <v>397</v>
      </c>
      <c r="I247" s="1" t="s">
        <v>396</v>
      </c>
      <c r="J247">
        <v>7</v>
      </c>
      <c r="K247">
        <v>-2.5</v>
      </c>
      <c r="L247">
        <v>204.5</v>
      </c>
      <c r="M247">
        <v>103.5</v>
      </c>
      <c r="N247">
        <v>24.1</v>
      </c>
      <c r="O247">
        <v>46.1</v>
      </c>
      <c r="P247">
        <v>64.3</v>
      </c>
      <c r="Q247">
        <v>0</v>
      </c>
      <c r="R247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53F68-DEC8-4C6E-A423-5DA97946658B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F2F4A5-01BD-4BEE-B8B4-CA791024DE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Table 0</vt:lpstr>
      <vt:lpstr>Table 0 (2)</vt:lpstr>
      <vt:lpstr>Table 0 (3)</vt:lpstr>
      <vt:lpstr>Table 0 (4)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Carson</dc:creator>
  <cp:lastModifiedBy>Sam Carson</cp:lastModifiedBy>
  <dcterms:created xsi:type="dcterms:W3CDTF">2022-01-06T17:44:03Z</dcterms:created>
  <dcterms:modified xsi:type="dcterms:W3CDTF">2022-01-12T22:20:23Z</dcterms:modified>
</cp:coreProperties>
</file>